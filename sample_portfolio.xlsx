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B:\chanmainvest\portfolio_dashboard\"/>
    </mc:Choice>
  </mc:AlternateContent>
  <xr:revisionPtr revIDLastSave="0" documentId="13_ncr:1_{F91E4ACE-D1E8-4043-BA5A-1E8D1163D057}" xr6:coauthVersionLast="47" xr6:coauthVersionMax="47" xr10:uidLastSave="{00000000-0000-0000-0000-000000000000}"/>
  <bookViews>
    <workbookView xWindow="-110" yWindow="-110" windowWidth="38620" windowHeight="21100" activeTab="1" xr2:uid="{C3C23AD8-DF51-43CD-B973-8860122C8980}"/>
  </bookViews>
  <sheets>
    <sheet name="Portfolio" sheetId="1" r:id="rId1"/>
    <sheet name="Options" sheetId="4" r:id="rId2"/>
    <sheet name="Currency" sheetId="2" r:id="rId3"/>
  </sheets>
  <definedNames>
    <definedName name="_xlnm._FilterDatabase" localSheetId="1" hidden="1">Options!$A$1:$K$5</definedName>
    <definedName name="_xlnm._FilterDatabase" localSheetId="0" hidden="1">Portfolio!$A$1:$H$8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a="1"/>
  <c r="F13" i="1" s="1"/>
  <c r="E13" i="1" a="1"/>
  <c r="E13" i="1" s="1"/>
  <c r="C13" i="1" a="1"/>
  <c r="C13" i="1" s="1"/>
  <c r="F12" i="1" a="1"/>
  <c r="F12" i="1" s="1"/>
  <c r="E12" i="1" a="1"/>
  <c r="E12" i="1" s="1"/>
  <c r="C12" i="1" a="1"/>
  <c r="C12" i="1" s="1"/>
  <c r="F14" i="1" a="1"/>
  <c r="F14" i="1" s="1"/>
  <c r="E14" i="1" a="1"/>
  <c r="E14" i="1" s="1"/>
  <c r="C14" i="1" a="1"/>
  <c r="C14" i="1" s="1"/>
  <c r="F10" i="1" a="1"/>
  <c r="F10" i="1" s="1"/>
  <c r="E10" i="1" a="1"/>
  <c r="E10" i="1" s="1"/>
  <c r="C10" i="1" a="1"/>
  <c r="C10" i="1" s="1"/>
  <c r="F11" i="1" a="1"/>
  <c r="F11" i="1" s="1"/>
  <c r="E11" i="1" a="1"/>
  <c r="E11" i="1" s="1"/>
  <c r="C11" i="1" a="1"/>
  <c r="C11" i="1" s="1"/>
  <c r="F9" i="1" a="1"/>
  <c r="F9" i="1" s="1"/>
  <c r="E9" i="1" a="1"/>
  <c r="E9" i="1" s="1"/>
  <c r="C9" i="1" a="1"/>
  <c r="C9" i="1" s="1"/>
  <c r="F4" i="1" a="1"/>
  <c r="F4" i="1" s="1"/>
  <c r="E4" i="1" a="1"/>
  <c r="E4" i="1" s="1"/>
  <c r="C4" i="1" a="1"/>
  <c r="C4" i="1" s="1"/>
  <c r="C5" i="1" a="1"/>
  <c r="C5" i="1" s="1"/>
  <c r="C6" i="1" a="1"/>
  <c r="C6" i="1" s="1"/>
  <c r="C7" i="1" a="1"/>
  <c r="C7" i="1" s="1"/>
  <c r="C8" i="1" a="1"/>
  <c r="C8" i="1" s="1"/>
  <c r="F7" i="1" a="1"/>
  <c r="F7" i="1" s="1"/>
  <c r="E7" i="1" a="1"/>
  <c r="E7" i="1" s="1"/>
  <c r="F6" i="1" a="1"/>
  <c r="F6" i="1" s="1"/>
  <c r="E6" i="1" a="1"/>
  <c r="E6" i="1" s="1"/>
  <c r="F5" i="1" a="1"/>
  <c r="F5" i="1" s="1"/>
  <c r="E5" i="1" a="1"/>
  <c r="E5" i="1" s="1"/>
  <c r="F2" i="1" a="1"/>
  <c r="F2" i="1" s="1"/>
  <c r="E2" i="1" a="1"/>
  <c r="E2" i="1" s="1"/>
  <c r="C2" i="1" a="1"/>
  <c r="C2" i="1" s="1"/>
  <c r="M15" i="4"/>
  <c r="I15" i="4" a="1"/>
  <c r="I15" i="4" s="1"/>
  <c r="H15" i="4" a="1"/>
  <c r="H15" i="4" s="1"/>
  <c r="C15" i="4" a="1"/>
  <c r="C15" i="4" s="1"/>
  <c r="M6" i="4"/>
  <c r="I6" i="4" a="1"/>
  <c r="I6" i="4" s="1"/>
  <c r="H6" i="4" a="1"/>
  <c r="H6" i="4" s="1"/>
  <c r="C6" i="4" a="1"/>
  <c r="C6" i="4" s="1"/>
  <c r="M7" i="4"/>
  <c r="I7" i="4" a="1"/>
  <c r="I7" i="4" s="1"/>
  <c r="H7" i="4" a="1"/>
  <c r="H7" i="4" s="1"/>
  <c r="C7" i="4" a="1"/>
  <c r="C7" i="4" s="1"/>
  <c r="L5" i="4"/>
  <c r="M5" i="4" s="1"/>
  <c r="I5" i="4" a="1"/>
  <c r="I5" i="4" s="1"/>
  <c r="H5" i="4" a="1"/>
  <c r="H5" i="4" s="1"/>
  <c r="C5" i="4" a="1"/>
  <c r="C5" i="4" s="1"/>
  <c r="M4" i="4"/>
  <c r="I4" i="4" a="1"/>
  <c r="I4" i="4" s="1"/>
  <c r="H4" i="4" a="1"/>
  <c r="H4" i="4" s="1"/>
  <c r="C4" i="4" a="1"/>
  <c r="C4" i="4" s="1"/>
  <c r="L3" i="4"/>
  <c r="M3" i="4" s="1"/>
  <c r="I3" i="4" a="1"/>
  <c r="I3" i="4" s="1"/>
  <c r="H3" i="4" a="1"/>
  <c r="H3" i="4" s="1"/>
  <c r="C3" i="4" a="1"/>
  <c r="C3" i="4" s="1"/>
  <c r="M2" i="4"/>
  <c r="I2" i="4" a="1"/>
  <c r="I2" i="4" s="1"/>
  <c r="H2" i="4" a="1"/>
  <c r="H2" i="4" s="1"/>
  <c r="C2" i="4" a="1"/>
  <c r="C2" i="4" s="1"/>
  <c r="M14" i="4"/>
  <c r="I14" i="4" a="1"/>
  <c r="I14" i="4" s="1"/>
  <c r="H14" i="4" a="1"/>
  <c r="H14" i="4" s="1"/>
  <c r="C14" i="4" a="1"/>
  <c r="C14" i="4" s="1"/>
  <c r="M13" i="4"/>
  <c r="I13" i="4" a="1"/>
  <c r="I13" i="4" s="1"/>
  <c r="H13" i="4" a="1"/>
  <c r="H13" i="4" s="1"/>
  <c r="C13" i="4" a="1"/>
  <c r="C13" i="4" s="1"/>
  <c r="M12" i="4"/>
  <c r="I12" i="4" a="1"/>
  <c r="I12" i="4" s="1"/>
  <c r="H12" i="4" a="1"/>
  <c r="H12" i="4" s="1"/>
  <c r="C12" i="4" a="1"/>
  <c r="C12" i="4" s="1"/>
  <c r="M11" i="4"/>
  <c r="I11" i="4" a="1"/>
  <c r="I11" i="4" s="1"/>
  <c r="H11" i="4" a="1"/>
  <c r="H11" i="4" s="1"/>
  <c r="C11" i="4" a="1"/>
  <c r="C11" i="4" s="1"/>
  <c r="M8" i="4"/>
  <c r="I8" i="4" a="1"/>
  <c r="I8" i="4" s="1"/>
  <c r="H8" i="4" a="1"/>
  <c r="H8" i="4" s="1"/>
  <c r="C8" i="4" a="1"/>
  <c r="C8" i="4" s="1"/>
  <c r="M9" i="4"/>
  <c r="I9" i="4" a="1"/>
  <c r="I9" i="4" s="1"/>
  <c r="H9" i="4" a="1"/>
  <c r="H9" i="4" s="1"/>
  <c r="C9" i="4" a="1"/>
  <c r="C9" i="4" s="1"/>
  <c r="M10" i="4"/>
  <c r="I10" i="4" a="1"/>
  <c r="I10" i="4" s="1"/>
  <c r="H10" i="4" a="1"/>
  <c r="H10" i="4" s="1"/>
  <c r="C10" i="4" a="1"/>
  <c r="C10" i="4" s="1"/>
  <c r="G13" i="1" l="1"/>
  <c r="G12" i="1"/>
  <c r="G14" i="1"/>
  <c r="G10" i="1"/>
  <c r="G11" i="1"/>
  <c r="G9" i="1"/>
  <c r="H9" i="1"/>
  <c r="G4" i="1"/>
  <c r="H4" i="1" s="1"/>
  <c r="G7" i="1"/>
  <c r="G6" i="1"/>
  <c r="G5" i="1"/>
  <c r="G2" i="1"/>
  <c r="J15" i="4"/>
  <c r="K15" i="4" s="1"/>
  <c r="N15" i="4"/>
  <c r="J6" i="4"/>
  <c r="J7" i="4"/>
  <c r="J5" i="4"/>
  <c r="J4" i="4"/>
  <c r="J3" i="4"/>
  <c r="J2" i="4"/>
  <c r="J13" i="4"/>
  <c r="J14" i="4"/>
  <c r="J11" i="4"/>
  <c r="J12" i="4"/>
  <c r="J8" i="4"/>
  <c r="J9" i="4"/>
  <c r="J10" i="4"/>
  <c r="M17" i="4" l="1"/>
  <c r="I17" i="4" a="1"/>
  <c r="I17" i="4" s="1"/>
  <c r="H17" i="4" a="1"/>
  <c r="H17" i="4" s="1"/>
  <c r="J17" i="4" l="1"/>
  <c r="M16" i="4"/>
  <c r="I16" i="4" a="1"/>
  <c r="I16" i="4" s="1"/>
  <c r="H16" i="4" a="1"/>
  <c r="H16" i="4" s="1"/>
  <c r="J16" i="4" l="1"/>
  <c r="G20" i="1" l="1"/>
  <c r="G19" i="1"/>
  <c r="H19" i="1" s="1"/>
  <c r="C16" i="4" l="1" a="1"/>
  <c r="C16" i="4" s="1"/>
  <c r="C17" i="4" a="1"/>
  <c r="C17" i="4" s="1"/>
  <c r="C17" i="2" a="1"/>
  <c r="C17" i="2" s="1"/>
  <c r="B17" i="2" a="1"/>
  <c r="B17" i="2" s="1"/>
  <c r="B16" i="2" a="1"/>
  <c r="B16" i="2" s="1"/>
  <c r="C16" i="2" a="1"/>
  <c r="C16" i="2" s="1"/>
  <c r="C15" i="2" a="1"/>
  <c r="C15" i="2" s="1"/>
  <c r="B15" i="2" a="1"/>
  <c r="B15" i="2" s="1"/>
  <c r="C14" i="2" a="1"/>
  <c r="C14" i="2" s="1"/>
  <c r="B14" i="2" a="1"/>
  <c r="B14" i="2" s="1"/>
  <c r="K1" i="2"/>
  <c r="J1" i="2"/>
  <c r="I1" i="2"/>
  <c r="H1" i="2"/>
  <c r="C11" i="2" a="1"/>
  <c r="C11" i="2" s="1"/>
  <c r="B11" i="2" a="1"/>
  <c r="B11" i="2" s="1"/>
  <c r="C10" i="2" a="1"/>
  <c r="C10" i="2" s="1"/>
  <c r="B10" i="2" a="1"/>
  <c r="B10" i="2" s="1"/>
  <c r="C9" i="2" a="1"/>
  <c r="C9" i="2" s="1"/>
  <c r="B9" i="2" a="1"/>
  <c r="B9" i="2" s="1"/>
  <c r="C8" i="2" a="1"/>
  <c r="C8" i="2" s="1"/>
  <c r="B8" i="2" a="1"/>
  <c r="B8" i="2" s="1"/>
  <c r="G1" i="2"/>
  <c r="F1" i="2"/>
  <c r="E1" i="2"/>
  <c r="D1" i="2"/>
  <c r="G17" i="1"/>
  <c r="H17" i="1" s="1"/>
  <c r="G18" i="1"/>
  <c r="L1" i="1"/>
  <c r="K1" i="1"/>
  <c r="J1" i="1"/>
  <c r="R1" i="4"/>
  <c r="Q1" i="4"/>
  <c r="P1" i="4"/>
  <c r="O1" i="4"/>
  <c r="I1" i="1"/>
  <c r="B6" i="2" a="1"/>
  <c r="B6" i="2" s="1"/>
  <c r="C6" i="2" a="1"/>
  <c r="C6" i="2" s="1"/>
  <c r="B7" i="2" a="1"/>
  <c r="B7" i="2" s="1"/>
  <c r="C7" i="2" a="1"/>
  <c r="C7" i="2" s="1"/>
  <c r="B5" i="2" a="1"/>
  <c r="B5" i="2" s="1"/>
  <c r="C5" i="2" a="1"/>
  <c r="C5" i="2" s="1"/>
  <c r="C4" i="2" a="1"/>
  <c r="C4" i="2" s="1"/>
  <c r="B4" i="2" a="1"/>
  <c r="B4" i="2" s="1"/>
  <c r="B3" i="2" a="1"/>
  <c r="B3" i="2" s="1"/>
  <c r="C3" i="2" a="1"/>
  <c r="C3" i="2" s="1"/>
  <c r="E3" i="1" a="1"/>
  <c r="E3" i="1" s="1"/>
  <c r="G3" i="1" s="1"/>
  <c r="E8" i="1" a="1"/>
  <c r="E8" i="1" s="1"/>
  <c r="G8" i="1" s="1"/>
  <c r="E15" i="1" a="1"/>
  <c r="E15" i="1" s="1"/>
  <c r="G15" i="1" s="1"/>
  <c r="E16" i="1" a="1"/>
  <c r="E16" i="1" s="1"/>
  <c r="G16" i="1" s="1"/>
  <c r="C2" i="2" a="1"/>
  <c r="C2" i="2" s="1"/>
  <c r="B2" i="2" a="1"/>
  <c r="B2" i="2" s="1"/>
  <c r="F3" i="1" a="1"/>
  <c r="F3" i="1" s="1"/>
  <c r="F8" i="1" a="1"/>
  <c r="F8" i="1" s="1"/>
  <c r="F15" i="1" a="1"/>
  <c r="F15" i="1" s="1"/>
  <c r="F16" i="1" a="1"/>
  <c r="F16" i="1" s="1"/>
  <c r="C15" i="1" a="1"/>
  <c r="C15" i="1" s="1"/>
  <c r="C16" i="1" a="1"/>
  <c r="C16" i="1" s="1"/>
  <c r="C3" i="1" a="1"/>
  <c r="C3" i="1" s="1"/>
  <c r="L13" i="1" a="1"/>
  <c r="K13" i="1" a="1"/>
  <c r="J13" i="1" a="1"/>
  <c r="I13" i="1" a="1"/>
  <c r="L12" i="1" a="1"/>
  <c r="K12" i="1" a="1"/>
  <c r="J12" i="1" a="1"/>
  <c r="I12" i="1" a="1"/>
  <c r="L14" i="1" a="1"/>
  <c r="K14" i="1" a="1"/>
  <c r="I14" i="1" a="1"/>
  <c r="J14" i="1" a="1"/>
  <c r="L10" i="1" a="1"/>
  <c r="K10" i="1" a="1"/>
  <c r="J10" i="1" a="1"/>
  <c r="I10" i="1" a="1"/>
  <c r="L11" i="1" a="1"/>
  <c r="K11" i="1" a="1"/>
  <c r="J11" i="1" a="1"/>
  <c r="I11" i="1" a="1"/>
  <c r="L9" i="1" a="1"/>
  <c r="I9" i="1" a="1"/>
  <c r="K9" i="1" a="1"/>
  <c r="J9" i="1" a="1"/>
  <c r="L4" i="1" a="1"/>
  <c r="K4" i="1" a="1"/>
  <c r="J4" i="1" a="1"/>
  <c r="I4" i="1" a="1"/>
  <c r="L7" i="1" a="1"/>
  <c r="K7" i="1" a="1"/>
  <c r="I7" i="1" a="1"/>
  <c r="J7" i="1" a="1"/>
  <c r="L6" i="1" a="1"/>
  <c r="K6" i="1" a="1"/>
  <c r="J6" i="1" a="1"/>
  <c r="I6" i="1" a="1"/>
  <c r="L5" i="1" a="1"/>
  <c r="I5" i="1" a="1"/>
  <c r="K5" i="1" a="1"/>
  <c r="J5" i="1" a="1"/>
  <c r="L2" i="1" a="1"/>
  <c r="I2" i="1" a="1"/>
  <c r="K2" i="1" a="1"/>
  <c r="J2" i="1" a="1"/>
  <c r="O7" i="4" a="1"/>
  <c r="O8" i="4" a="1"/>
  <c r="O6" i="4" a="1"/>
  <c r="K11" i="2" a="1"/>
  <c r="G10" i="2" a="1"/>
  <c r="H7" i="2" a="1"/>
  <c r="Q15" i="4" a="1"/>
  <c r="O15" i="4" a="1"/>
  <c r="R15" i="4" a="1"/>
  <c r="F5" i="2" a="1"/>
  <c r="P6" i="4" a="1"/>
  <c r="H11" i="1" l="1"/>
  <c r="H12" i="1"/>
  <c r="H14" i="1"/>
  <c r="H10" i="1"/>
  <c r="H13" i="1"/>
  <c r="I13" i="1"/>
  <c r="J13" i="1"/>
  <c r="K13" i="1"/>
  <c r="L13" i="1"/>
  <c r="I12" i="1"/>
  <c r="J12" i="1"/>
  <c r="K12" i="1"/>
  <c r="L12" i="1"/>
  <c r="J14" i="1"/>
  <c r="I14" i="1"/>
  <c r="K14" i="1"/>
  <c r="L14" i="1"/>
  <c r="I10" i="1"/>
  <c r="J10" i="1"/>
  <c r="K10" i="1"/>
  <c r="L10" i="1"/>
  <c r="I11" i="1"/>
  <c r="J11" i="1"/>
  <c r="K11" i="1"/>
  <c r="L11" i="1"/>
  <c r="J9" i="1"/>
  <c r="K9" i="1"/>
  <c r="I9" i="1"/>
  <c r="L9" i="1"/>
  <c r="I4" i="1"/>
  <c r="J4" i="1"/>
  <c r="K4" i="1"/>
  <c r="L4" i="1"/>
  <c r="H2" i="1"/>
  <c r="H7" i="1"/>
  <c r="H5" i="1"/>
  <c r="H6" i="1"/>
  <c r="J7" i="1"/>
  <c r="I7" i="1"/>
  <c r="K7" i="1"/>
  <c r="L7" i="1"/>
  <c r="I6" i="1"/>
  <c r="J6" i="1"/>
  <c r="K6" i="1"/>
  <c r="L6" i="1"/>
  <c r="J5" i="1"/>
  <c r="K5" i="1"/>
  <c r="I5" i="1"/>
  <c r="L5" i="1"/>
  <c r="J2" i="1"/>
  <c r="K2" i="1"/>
  <c r="I2" i="1"/>
  <c r="L2" i="1"/>
  <c r="R15" i="4"/>
  <c r="O15" i="4"/>
  <c r="Q15" i="4"/>
  <c r="N6" i="4"/>
  <c r="K6" i="4"/>
  <c r="O6" i="4"/>
  <c r="P6" i="4"/>
  <c r="N7" i="4"/>
  <c r="K7" i="4"/>
  <c r="O7" i="4"/>
  <c r="N5" i="4"/>
  <c r="N4" i="4"/>
  <c r="K4" i="4"/>
  <c r="K5" i="4"/>
  <c r="K3" i="4"/>
  <c r="N2" i="4"/>
  <c r="N3" i="4"/>
  <c r="K2" i="4"/>
  <c r="N13" i="4"/>
  <c r="N14" i="4"/>
  <c r="K14" i="4"/>
  <c r="K13" i="4"/>
  <c r="K11" i="4"/>
  <c r="N10" i="4"/>
  <c r="N11" i="4"/>
  <c r="N8" i="4"/>
  <c r="K12" i="4"/>
  <c r="N12" i="4"/>
  <c r="N9" i="4"/>
  <c r="K9" i="4"/>
  <c r="K10" i="4"/>
  <c r="K8" i="4"/>
  <c r="O8" i="4"/>
  <c r="N17" i="4"/>
  <c r="K17" i="4"/>
  <c r="N16" i="4"/>
  <c r="K16" i="4"/>
  <c r="H20" i="1"/>
  <c r="K11" i="2"/>
  <c r="G10" i="2"/>
  <c r="H7" i="2"/>
  <c r="F5" i="2"/>
  <c r="H18" i="1"/>
  <c r="H8" i="1"/>
  <c r="H3" i="1"/>
  <c r="H16" i="1"/>
  <c r="H15" i="1"/>
  <c r="J4" i="2" a="1"/>
  <c r="O10" i="4" a="1"/>
  <c r="G2" i="2" a="1"/>
  <c r="J3" i="2" a="1"/>
  <c r="O9" i="4" a="1"/>
  <c r="F15" i="2" a="1"/>
  <c r="G16" i="2" a="1"/>
  <c r="K3" i="2" a="1"/>
  <c r="D3" i="2" a="1"/>
  <c r="E4" i="2" a="1"/>
  <c r="E10" i="2" a="1"/>
  <c r="G15" i="2" a="1"/>
  <c r="Q7" i="4" a="1"/>
  <c r="G4" i="2" a="1"/>
  <c r="G8" i="2" a="1"/>
  <c r="Q17" i="4" a="1"/>
  <c r="F9" i="2" a="1"/>
  <c r="K10" i="2" a="1"/>
  <c r="K7" i="2" a="1"/>
  <c r="H5" i="2" a="1"/>
  <c r="R9" i="4" a="1"/>
  <c r="O5" i="4" a="1"/>
  <c r="O12" i="4" a="1"/>
  <c r="D15" i="2" a="1"/>
  <c r="L8" i="1" a="1"/>
  <c r="I11" i="2" a="1"/>
  <c r="F14" i="2" a="1"/>
  <c r="J16" i="2" a="1"/>
  <c r="Q6" i="4" a="1"/>
  <c r="I7" i="2" a="1"/>
  <c r="R11" i="4" a="1"/>
  <c r="G9" i="2" a="1"/>
  <c r="R6" i="4" a="1"/>
  <c r="R8" i="4" a="1"/>
  <c r="D4" i="2" a="1"/>
  <c r="P3" i="4" a="1"/>
  <c r="Q12" i="4" a="1"/>
  <c r="H8" i="2" a="1"/>
  <c r="G5" i="2" a="1"/>
  <c r="I3" i="2" a="1"/>
  <c r="O16" i="4" a="1"/>
  <c r="P8" i="4" a="1"/>
  <c r="K16" i="1" a="1"/>
  <c r="E3" i="2" a="1"/>
  <c r="D5" i="2" a="1"/>
  <c r="Q16" i="4" a="1"/>
  <c r="I3" i="1" a="1"/>
  <c r="L16" i="1" a="1"/>
  <c r="D2" i="2" a="1"/>
  <c r="F17" i="2" a="1"/>
  <c r="K17" i="2" a="1"/>
  <c r="O4" i="4" a="1"/>
  <c r="P5" i="4" a="1"/>
  <c r="E16" i="2" a="1"/>
  <c r="J17" i="2" a="1"/>
  <c r="G11" i="2" a="1"/>
  <c r="L3" i="1" a="1"/>
  <c r="R5" i="4" a="1"/>
  <c r="H2" i="2" a="1"/>
  <c r="H6" i="2" a="1"/>
  <c r="E15" i="2" a="1"/>
  <c r="F10" i="2" a="1"/>
  <c r="R13" i="4" a="1"/>
  <c r="O3" i="4" a="1"/>
  <c r="R14" i="4" a="1"/>
  <c r="I10" i="2" a="1"/>
  <c r="O11" i="4" a="1"/>
  <c r="E6" i="2" a="1"/>
  <c r="E8" i="2" a="1"/>
  <c r="G17" i="2" a="1"/>
  <c r="E14" i="2" a="1"/>
  <c r="P13" i="4" a="1"/>
  <c r="R4" i="4" a="1"/>
  <c r="R17" i="4" a="1"/>
  <c r="P15" i="4" a="1"/>
  <c r="I6" i="2" a="1"/>
  <c r="Q8" i="4" a="1"/>
  <c r="O2" i="4" a="1"/>
  <c r="R16" i="4" a="1"/>
  <c r="J5" i="2" a="1"/>
  <c r="J2" i="2" a="1"/>
  <c r="P10" i="4" a="1"/>
  <c r="D16" i="2" a="1"/>
  <c r="F7" i="2" a="1"/>
  <c r="K16" i="2" a="1"/>
  <c r="I15" i="2" a="1"/>
  <c r="I16" i="2" a="1"/>
  <c r="O17" i="4" a="1"/>
  <c r="E17" i="2" a="1"/>
  <c r="J3" i="1" a="1"/>
  <c r="I8" i="1" a="1"/>
  <c r="H16" i="2" a="1"/>
  <c r="I9" i="2" a="1"/>
  <c r="Q5" i="4" a="1"/>
  <c r="I4" i="2" a="1"/>
  <c r="I16" i="1" a="1"/>
  <c r="D14" i="2" a="1"/>
  <c r="E5" i="2" a="1"/>
  <c r="P12" i="4" a="1"/>
  <c r="K5" i="2" a="1"/>
  <c r="J15" i="1" a="1"/>
  <c r="K2" i="2" a="1"/>
  <c r="G6" i="2" a="1"/>
  <c r="D9" i="2" a="1"/>
  <c r="E9" i="2" a="1"/>
  <c r="R12" i="4" a="1"/>
  <c r="P2" i="4" a="1"/>
  <c r="G14" i="2" a="1"/>
  <c r="I17" i="2" a="1"/>
  <c r="P7" i="4" a="1"/>
  <c r="Q9" i="4" a="1"/>
  <c r="J14" i="2" a="1"/>
  <c r="K9" i="2" a="1"/>
  <c r="J10" i="2" a="1"/>
  <c r="D10" i="2" a="1"/>
  <c r="O13" i="4" a="1"/>
  <c r="P9" i="4" a="1"/>
  <c r="Q3" i="4" a="1"/>
  <c r="F8" i="2" a="1"/>
  <c r="P14" i="4" a="1"/>
  <c r="I2" i="2" a="1"/>
  <c r="J11" i="2" a="1"/>
  <c r="F2" i="2" a="1"/>
  <c r="H4" i="2" a="1"/>
  <c r="D17" i="2" a="1"/>
  <c r="F11" i="2" a="1"/>
  <c r="H15" i="2" a="1"/>
  <c r="I8" i="2" a="1"/>
  <c r="H11" i="2" a="1"/>
  <c r="J7" i="2" a="1"/>
  <c r="Q10" i="4" a="1"/>
  <c r="H10" i="2" a="1"/>
  <c r="D11" i="2" a="1"/>
  <c r="K8" i="1" a="1"/>
  <c r="I15" i="1" a="1"/>
  <c r="E2" i="2" a="1"/>
  <c r="K6" i="2" a="1"/>
  <c r="K15" i="2" a="1"/>
  <c r="R3" i="4" a="1"/>
  <c r="Q4" i="4" a="1"/>
  <c r="F6" i="2" a="1"/>
  <c r="I5" i="2" a="1"/>
  <c r="R2" i="4" a="1"/>
  <c r="K3" i="1" a="1"/>
  <c r="D8" i="2" a="1"/>
  <c r="O14" i="4" a="1"/>
  <c r="Q2" i="4" a="1"/>
  <c r="D6" i="2" a="1"/>
  <c r="H3" i="2" a="1"/>
  <c r="F3" i="2" a="1"/>
  <c r="K15" i="1" a="1"/>
  <c r="R10" i="4" a="1"/>
  <c r="K14" i="2" a="1"/>
  <c r="J16" i="1" a="1"/>
  <c r="P4" i="4" a="1"/>
  <c r="K8" i="2" a="1"/>
  <c r="Q13" i="4" a="1"/>
  <c r="E11" i="2" a="1"/>
  <c r="G7" i="2" a="1"/>
  <c r="P16" i="4" a="1"/>
  <c r="R7" i="4" a="1"/>
  <c r="J8" i="2" a="1"/>
  <c r="H17" i="2" a="1"/>
  <c r="L15" i="1" a="1"/>
  <c r="Q11" i="4" a="1"/>
  <c r="D7" i="2" a="1"/>
  <c r="J9" i="2" a="1"/>
  <c r="F16" i="2" a="1"/>
  <c r="P11" i="4" a="1"/>
  <c r="J6" i="2" a="1"/>
  <c r="H14" i="2" a="1"/>
  <c r="H9" i="2" a="1"/>
  <c r="F4" i="2" a="1"/>
  <c r="J8" i="1" a="1"/>
  <c r="K4" i="2" a="1"/>
  <c r="P17" i="4" a="1"/>
  <c r="Q14" i="4" a="1"/>
  <c r="G3" i="2" a="1"/>
  <c r="J15" i="2" a="1"/>
  <c r="E7" i="2" a="1"/>
  <c r="I14" i="2" a="1"/>
  <c r="H21" i="1" l="1"/>
  <c r="P7" i="4"/>
  <c r="P15" i="4"/>
  <c r="R6" i="4"/>
  <c r="Q6" i="4"/>
  <c r="Q7" i="4"/>
  <c r="R7" i="4"/>
  <c r="R4" i="4"/>
  <c r="R5" i="4"/>
  <c r="Q5" i="4"/>
  <c r="Q4" i="4"/>
  <c r="O5" i="4"/>
  <c r="O4" i="4"/>
  <c r="P5" i="4"/>
  <c r="P4" i="4"/>
  <c r="O9" i="4"/>
  <c r="O10" i="4"/>
  <c r="Q8" i="4"/>
  <c r="Q9" i="4"/>
  <c r="P8" i="4"/>
  <c r="P9" i="4"/>
  <c r="R8" i="4"/>
  <c r="R9" i="4"/>
  <c r="P10" i="4"/>
  <c r="R10" i="4"/>
  <c r="Q10" i="4"/>
  <c r="P3" i="4"/>
  <c r="P2" i="4"/>
  <c r="R2" i="4"/>
  <c r="R3" i="4"/>
  <c r="Q2" i="4"/>
  <c r="Q3" i="4"/>
  <c r="O2" i="4"/>
  <c r="O3" i="4"/>
  <c r="P14" i="4"/>
  <c r="P13" i="4"/>
  <c r="Q13" i="4"/>
  <c r="Q14" i="4"/>
  <c r="R14" i="4"/>
  <c r="R13" i="4"/>
  <c r="O14" i="4"/>
  <c r="O13" i="4"/>
  <c r="Q12" i="4"/>
  <c r="Q11" i="4"/>
  <c r="R11" i="4"/>
  <c r="R12" i="4"/>
  <c r="P11" i="4"/>
  <c r="P12" i="4"/>
  <c r="O11" i="4"/>
  <c r="O12" i="4"/>
  <c r="R16" i="4"/>
  <c r="Q17" i="4"/>
  <c r="P17" i="4"/>
  <c r="Q16" i="4"/>
  <c r="P16" i="4"/>
  <c r="R17" i="4"/>
  <c r="O16" i="4"/>
  <c r="O17" i="4"/>
  <c r="I11" i="2"/>
  <c r="J11" i="2"/>
  <c r="D2" i="2"/>
  <c r="D17" i="2"/>
  <c r="E17" i="2"/>
  <c r="F17" i="2"/>
  <c r="G17" i="2"/>
  <c r="H17" i="2"/>
  <c r="I17" i="2"/>
  <c r="J17" i="2"/>
  <c r="K17" i="2"/>
  <c r="H8" i="2"/>
  <c r="D6" i="2"/>
  <c r="H2" i="2"/>
  <c r="H10" i="2"/>
  <c r="H9" i="2"/>
  <c r="H3" i="2"/>
  <c r="H6" i="2"/>
  <c r="D5" i="2"/>
  <c r="E5" i="2"/>
  <c r="G2" i="2"/>
  <c r="E3" i="2"/>
  <c r="E2" i="2"/>
  <c r="G9" i="2"/>
  <c r="G3" i="2"/>
  <c r="D3" i="2"/>
  <c r="E6" i="2"/>
  <c r="F6" i="2"/>
  <c r="F3" i="2"/>
  <c r="F2" i="2"/>
  <c r="K16" i="2"/>
  <c r="J16" i="2"/>
  <c r="I16" i="2"/>
  <c r="H16" i="2"/>
  <c r="G16" i="2"/>
  <c r="F16" i="2"/>
  <c r="E16" i="2"/>
  <c r="D16" i="2"/>
  <c r="D15" i="2"/>
  <c r="E15" i="2"/>
  <c r="F15" i="2"/>
  <c r="G15" i="2"/>
  <c r="H15" i="2"/>
  <c r="I15" i="2"/>
  <c r="J15" i="2"/>
  <c r="K15" i="2"/>
  <c r="D14" i="2"/>
  <c r="E14" i="2"/>
  <c r="F14" i="2"/>
  <c r="G14" i="2"/>
  <c r="H14" i="2"/>
  <c r="I14" i="2"/>
  <c r="J14" i="2"/>
  <c r="K14" i="2"/>
  <c r="K10" i="2"/>
  <c r="K9" i="2"/>
  <c r="K8" i="2"/>
  <c r="K7" i="2"/>
  <c r="K6" i="2"/>
  <c r="K5" i="2"/>
  <c r="K4" i="2"/>
  <c r="K3" i="2"/>
  <c r="K2" i="2"/>
  <c r="J10" i="2"/>
  <c r="J9" i="2"/>
  <c r="J8" i="2"/>
  <c r="J7" i="2"/>
  <c r="J5" i="2"/>
  <c r="J6" i="2"/>
  <c r="J4" i="2"/>
  <c r="J3" i="2"/>
  <c r="J2" i="2"/>
  <c r="I10" i="2"/>
  <c r="I9" i="2"/>
  <c r="I8" i="2"/>
  <c r="I7" i="2"/>
  <c r="I6" i="2"/>
  <c r="I5" i="2"/>
  <c r="I4" i="2"/>
  <c r="I3" i="2"/>
  <c r="I2" i="2"/>
  <c r="G11" i="2"/>
  <c r="H11" i="2"/>
  <c r="G4" i="2"/>
  <c r="H4" i="2"/>
  <c r="G5" i="2"/>
  <c r="H5" i="2"/>
  <c r="G6" i="2"/>
  <c r="G7" i="2"/>
  <c r="G8" i="2"/>
  <c r="D11" i="2"/>
  <c r="E11" i="2"/>
  <c r="F11" i="2"/>
  <c r="D10" i="2"/>
  <c r="E10" i="2"/>
  <c r="F10" i="2"/>
  <c r="D9" i="2"/>
  <c r="E9" i="2"/>
  <c r="F9" i="2"/>
  <c r="D8" i="2"/>
  <c r="E8" i="2"/>
  <c r="F8" i="2"/>
  <c r="D7" i="2"/>
  <c r="E7" i="2"/>
  <c r="F7" i="2"/>
  <c r="D4" i="2"/>
  <c r="E4" i="2"/>
  <c r="F4" i="2"/>
  <c r="I3" i="1"/>
  <c r="I16" i="1"/>
  <c r="I15" i="1"/>
  <c r="L3" i="1"/>
  <c r="L8" i="1"/>
  <c r="I8" i="1"/>
  <c r="L15" i="1"/>
  <c r="L16" i="1"/>
  <c r="K3" i="1"/>
  <c r="K16" i="1"/>
  <c r="K15" i="1"/>
  <c r="K8" i="1"/>
  <c r="J15" i="1"/>
  <c r="J3" i="1"/>
  <c r="J16" i="1"/>
  <c r="J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37">
    <bk>
      <extLst>
        <ext uri="{3e2802c4-a4d2-4d8b-9148-e3be6c30e623}">
          <xlrd:rvb i="2"/>
        </ext>
      </extLst>
    </bk>
    <bk>
      <extLst>
        <ext uri="{3e2802c4-a4d2-4d8b-9148-e3be6c30e623}">
          <xlrd:rvb i="5"/>
        </ext>
      </extLst>
    </bk>
    <bk>
      <extLst>
        <ext uri="{3e2802c4-a4d2-4d8b-9148-e3be6c30e623}">
          <xlrd:rvb i="6"/>
        </ext>
      </extLst>
    </bk>
    <bk>
      <extLst>
        <ext uri="{3e2802c4-a4d2-4d8b-9148-e3be6c30e623}">
          <xlrd:rvb i="9"/>
        </ext>
      </extLst>
    </bk>
    <bk>
      <extLst>
        <ext uri="{3e2802c4-a4d2-4d8b-9148-e3be6c30e623}">
          <xlrd:rvb i="12"/>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0"/>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7"/>
        </ext>
      </extLst>
    </bk>
    <bk>
      <extLst>
        <ext uri="{3e2802c4-a4d2-4d8b-9148-e3be6c30e623}">
          <xlrd:rvb i="69"/>
        </ext>
      </extLst>
    </bk>
    <bk>
      <extLst>
        <ext uri="{3e2802c4-a4d2-4d8b-9148-e3be6c30e623}">
          <xlrd:rvb i="71"/>
        </ext>
      </extLst>
    </bk>
    <bk>
      <extLst>
        <ext uri="{3e2802c4-a4d2-4d8b-9148-e3be6c30e623}">
          <xlrd:rvb i="73"/>
        </ext>
      </extLst>
    </bk>
    <bk>
      <extLst>
        <ext uri="{3e2802c4-a4d2-4d8b-9148-e3be6c30e623}">
          <xlrd:rvb i="75"/>
        </ext>
      </extLst>
    </bk>
    <bk>
      <extLst>
        <ext uri="{3e2802c4-a4d2-4d8b-9148-e3be6c30e623}">
          <xlrd:rvb i="77"/>
        </ext>
      </extLst>
    </bk>
    <bk>
      <extLst>
        <ext uri="{3e2802c4-a4d2-4d8b-9148-e3be6c30e623}">
          <xlrd:rvb i="79"/>
        </ext>
      </extLst>
    </bk>
    <bk>
      <extLst>
        <ext uri="{3e2802c4-a4d2-4d8b-9148-e3be6c30e623}">
          <xlrd:rvb i="81"/>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futureMetadata>
  <cellMetadata count="1">
    <bk>
      <rc t="1" v="0"/>
    </bk>
  </cellMetadata>
  <valueMetadata count="3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<sst xmlns="http://schemas.openxmlformats.org/spreadsheetml/2006/main" count="85" uniqueCount="25">
  <si>
    <t>Cash</t>
  </si>
  <si>
    <t>TD</t>
  </si>
  <si>
    <t>Type</t>
  </si>
  <si>
    <t>PUT</t>
  </si>
  <si>
    <t>CALL</t>
  </si>
  <si>
    <t>Stock</t>
  </si>
  <si>
    <t>Account</t>
  </si>
  <si>
    <t>Symbol</t>
  </si>
  <si>
    <t>Shares</t>
  </si>
  <si>
    <t>Price</t>
  </si>
  <si>
    <t>Currency</t>
  </si>
  <si>
    <t>Mkt Value</t>
  </si>
  <si>
    <t>Mkt Value (CAD)</t>
  </si>
  <si>
    <t>CAD</t>
  </si>
  <si>
    <t>USD</t>
  </si>
  <si>
    <t>Expirty</t>
  </si>
  <si>
    <t>Strike</t>
  </si>
  <si>
    <t>P/L</t>
  </si>
  <si>
    <t>P/L (CAD)</t>
  </si>
  <si>
    <t>Cost</t>
  </si>
  <si>
    <t>Change</t>
  </si>
  <si>
    <t>N.Value (CAD)</t>
  </si>
  <si>
    <t>N.Value</t>
  </si>
  <si>
    <t>Commodity</t>
  </si>
  <si>
    <t>IB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</si>
</sst>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1009]* #,##0.00_-;\-[$$-1009]* #,##0.00_-;_-[$$-1009]* &quot;-&quot;??_-;_-@_-"/>
    <numFmt numFmtId="165" formatCode="yyyy/mm/dd;@"/>
  </numFmts>
  <fonts count="4" x14ac:knownFonts="1">
    <font>
      <sz val="11"/>
      <color theme="1"/>
      <name val="Calibri"/>
      <family val="2"/>
      <scheme val="minor"/>
    </font>
    <font>
      <sz val="10"/>
      <color theme="1"/>
      <name val="Arial"/>
      <family val="2"/>
    </font>
    <font>
      <sz val="8"/>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10" fontId="0" fillId="0" borderId="0" xfId="0" applyNumberFormat="1"/>
    <xf numFmtId="2" fontId="0" fillId="0" borderId="0" xfId="0" applyNumberFormat="1"/>
    <xf numFmtId="1" fontId="0" fillId="0" borderId="0" xfId="0" applyNumberFormat="1"/>
    <xf numFmtId="0" fontId="1" fillId="0" borderId="0" xfId="0" applyFont="1" applyAlignment="1">
      <alignment wrapText="1"/>
    </xf>
    <xf numFmtId="0" fontId="1" fillId="0" borderId="0" xfId="0" applyFont="1" applyAlignment="1">
      <alignment horizontal="right" wrapText="1"/>
    </xf>
    <xf numFmtId="165" fontId="1" fillId="0" borderId="0" xfId="0" applyNumberFormat="1" applyFont="1" applyAlignment="1">
      <alignment wrapText="1"/>
    </xf>
    <xf numFmtId="14" fontId="0" fillId="0" borderId="0" xfId="0" applyNumberFormat="1"/>
    <xf numFmtId="3" fontId="0" fillId="0" borderId="0" xfId="0" applyNumberForma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23/09/relationships/Python" Target="pytho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ichStyles" Target="richData/richStyles.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dArray" Target="richData/rdarray.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array.xml><?xml version="1.0" encoding="utf-8"?>
<arrayData xmlns="http://schemas.microsoft.com/office/spreadsheetml/2017/richdata2" count="181">
  <a r="1">
    <v t="i">0</v>
  </a>
  <a r="1">
    <v>330.34</v>
  </a>
  <a r="1">
    <v>309.37</v>
  </a>
  <a r="1">
    <v>284.95999999999998</v>
  </a>
  <a r="1">
    <v>437.5</v>
  </a>
  <a r="1">
    <v>401.25</v>
  </a>
  <a r="1">
    <v>417.07</v>
  </a>
  <a r="1">
    <v>0.86329999999999996</v>
  </a>
  <a r="1">
    <v>0.90669999999999995</v>
  </a>
  <a r="1">
    <v>0.95709999999999995</v>
  </a>
  <a r="1">
    <v>0.84230000000000005</v>
  </a>
  <a r="1">
    <v>0.93500000000000005</v>
  </a>
  <a r="1">
    <v>0.86199999999999999</v>
  </a>
  <a r="1">
    <v>0.88300000000000001</v>
  </a>
  <a r="1">
    <v>0.92779999999999996</v>
  </a>
  <a r="1">
    <v>7.1643999999999997</v>
  </a>
  <a r="1">
    <v>7.1928999999999998</v>
  </a>
  <a r="1">
    <v>6.9680999999999997</v>
  </a>
  <a r="1">
    <v>6.3250999999999999</v>
  </a>
  <a r="1">
    <v>7.1074000000000002</v>
  </a>
  <a r="1">
    <v>7.2786</v>
  </a>
  <a r="1">
    <v>6.9009999999999998</v>
  </a>
  <a r="1">
    <v>47.94</v>
  </a>
  <a r="1">
    <v>156.16</v>
  </a>
  <a r="1">
    <v>153.62</v>
  </a>
  <a r="1">
    <v>182.4</v>
  </a>
  <a r="1">
    <v>166.26</v>
  </a>
  <a r="1">
    <v>255.53</v>
  </a>
  <a r="1">
    <v>261.73</v>
  </a>
  <a r="1">
    <v>244.47</v>
  </a>
  <a r="1">
    <v>267.44</v>
  </a>
  <a r="1">
    <v>27.841000000000001</v>
  </a>
  <a r="1">
    <v>31.35</v>
  </a>
  <a r="1">
    <v>32.731000000000002</v>
  </a>
  <a r="1">
    <v>30.381</v>
  </a>
  <a r="1">
    <v>31.103000000000002</v>
  </a>
  <a r="1">
    <v>32.131999999999998</v>
  </a>
  <a r="1">
    <v>31.398</v>
  </a>
  <a r="1">
    <v>31.608000000000001</v>
  </a>
  <a r="1">
    <v>1.3414999999999999</v>
  </a>
  <a r="1">
    <v>1.2887</v>
  </a>
  <a r="1">
    <v>1.3454999999999999</v>
  </a>
  <a r="1">
    <v>1.3016000000000001</v>
  </a>
  <a r="1">
    <v>1.3458000000000001</v>
  </a>
  <a r="1">
    <v>1.3363</v>
  </a>
  <a r="1">
    <v>1.2618</v>
  </a>
  <a r="1">
    <v>1.3152999999999999</v>
  </a>
  <a r="1">
    <v>87.8</v>
  </a>
  <a r="1">
    <v>68</v>
  </a>
  <a r="1">
    <v>158.43</v>
  </a>
  <a r="1">
    <v>116.48</v>
  </a>
  <a r="1">
    <v>162.06</v>
  </a>
  <a r="1">
    <v>186.23</v>
  </a>
  <a r="1">
    <v>139.4</v>
  </a>
  <a r="1">
    <v>186.94</v>
  </a>
  <a r="1">
    <v>181.36</v>
  </a>
  <a r="1">
    <v>88.522999999999996</v>
  </a>
  <a r="1">
    <v>86.867000000000004</v>
  </a>
  <a r="1">
    <v>83.013000000000005</v>
  </a>
  <a r="1">
    <v>90.543999999999997</v>
  </a>
  <a r="1">
    <v>90.682000000000002</v>
  </a>
  <a r="1">
    <v>74.670100000000005</v>
  </a>
  <a r="1">
    <v>82.75</v>
  </a>
  <a r="1">
    <v>83.88</v>
  </a>
  <a r="1">
    <v>24.88</v>
  </a>
  <a r="1">
    <v>23.59</v>
  </a>
  <a r="1">
    <v>19.899999999999999</v>
  </a>
  <a r="1">
    <v>14.46</v>
  </a>
  <a r="1">
    <v>110.14</v>
  </a>
  <a r="1">
    <v>119.03</v>
  </a>
  <a r="1">
    <v>149.93</v>
  </a>
  <a r="1">
    <v>129.88999999999999</v>
  </a>
  <a r="1">
    <v>147.58000000000001</v>
  </a>
  <a r="1">
    <v>158.09</v>
  </a>
  <a r="1">
    <v>150.21</v>
  </a>
  <a r="1">
    <v>152.05000000000001</v>
  </a>
  <a r="1">
    <v>115</v>
  </a>
  <a r="1">
    <v>155.5</v>
  </a>
  <a r="1">
    <v>152.72999999999999</v>
  </a>
  <a r="1">
    <v>134.15</v>
  </a>
  <a r="1">
    <v>611.49</v>
  </a>
  <a r="1">
    <v>681.27</v>
  </a>
  <a r="1">
    <v>660.08</v>
  </a>
  <a r="1">
    <v>691.66</v>
  </a>
  <a r="1">
    <v>1006.1</v>
  </a>
  <a r="1">
    <v>921.4</v>
  </a>
  <a r="1">
    <v>2322.6999999999998</v>
  </a>
  <a r="1">
    <v>2021.7</v>
  </a>
  <a r="1">
    <v>1076.8</v>
  </a>
  <a r="1">
    <v>913.5</v>
  </a>
  <a r="1">
    <v>962.4</v>
  </a>
  <a r="1">
    <v>1555.2</v>
  </a>
  <a r="1">
    <v>1693.3</v>
  </a>
  <a r="1">
    <v>3292.3</v>
  </a>
  <a r="1">
    <v>2651.7</v>
  </a>
  <a r="1">
    <v>1922.7</v>
  </a>
  <a r="1">
    <v>2790.93</v>
  </a>
  <a r="1">
    <v>2608.4</v>
  </a>
  <a r="1">
    <v>3096.83</v>
  </a>
  <a r="1">
    <v>2783.04</v>
  </a>
  <a r="1">
    <v>1.4197</v>
  </a>
  <a r="1">
    <v>1.3607</v>
  </a>
  <a r="1">
    <v>1.3675999999999999</v>
  </a>
  <a r="1">
    <v>1.347</v>
  </a>
  <a r="1">
    <v>1.2748999999999999</v>
  </a>
  <a r="1">
    <v>1.3484</v>
  </a>
  <a r="1">
    <v>1.3986000000000001</v>
  </a>
  <a r="1">
    <v>1.3915</v>
  </a>
  <a r="1">
    <v>54.24</v>
  </a>
  <a r="1">
    <v>37.049999999999997</v>
  </a>
  <a r="1">
    <v>53.51</v>
  </a>
  <a r="1">
    <v>55.2</v>
  </a>
  <a r="1">
    <v>54.59</v>
  </a>
  <a r="1">
    <v>4.3710000000000004</v>
  </a>
  <a r="1">
    <v>4.431</v>
  </a>
  <a r="1">
    <v>2.2749999999999999</v>
  </a>
  <a r="1">
    <v>4.0069999999999997</v>
  </a>
  <a r="1">
    <v>3.1030000000000002</v>
  </a>
  <a r="1">
    <v>1.609</v>
  </a>
  <a r="1">
    <v>3.2170000000000001</v>
  </a>
  <a r="1">
    <v>2.1230000000000002</v>
  </a>
  <a r="1">
    <v>36.254899999999999</v>
  </a>
  <a r="1">
    <v>33.663200000000003</v>
  </a>
  <a r="1">
    <v>43.273499999999999</v>
  </a>
  <a r="1">
    <v>42.338500000000003</v>
  </a>
  <a r="1">
    <v>30.818200000000001</v>
  </a>
  <a r="1">
    <v>43.643500000000003</v>
  </a>
  <a r="1">
    <v>13.6426</v>
  </a>
  <a r="1">
    <v>18.8247</v>
  </a>
  <a r="1">
    <v>24482</v>
  </a>
  <a r="1">
    <v>39978.1</v>
  </a>
  <a r="1">
    <v>65802.02</v>
  </a>
  <a r="1">
    <v>52005</v>
  </a>
  <a r="1">
    <v>95474.77</v>
  </a>
  <a r="1">
    <v>59278</v>
  </a>
  <a r="1">
    <v>92461.78</v>
  </a>
  <a r="1">
    <v>95038.01</v>
  </a>
  <a r="1">
    <v>231.83</v>
  </a>
  <a r="1">
    <v>114.28</v>
  </a>
  <a r="1">
    <v>230.29</v>
  </a>
  <a r="1">
    <v>205.94</v>
  </a>
  <a r="1">
    <v>621.26</v>
  </a>
  <a r="1">
    <v>600.64</v>
  </a>
  <a r="1">
    <v>596.30999999999995</v>
  </a>
  <a r="1">
    <v>4066.5</v>
  </a>
  <a r="1">
    <v>4595.3999999999996</v>
  </a>
  <a r="1">
    <v>4948.3999999999996</v>
  </a>
  <a r="1">
    <v>2949</v>
  </a>
  <a r="1">
    <v>1840.4</v>
  </a>
  <a r="1">
    <v>1899.8</v>
  </a>
  <a r="1">
    <v>2537.8000000000002</v>
  </a>
  <a r="1">
    <v>2024.1</v>
  </a>
  <a r="1">
    <v>81.02</v>
  </a>
  <a r="1">
    <v>46.1</v>
  </a>
  <a r="1">
    <v>58.71</v>
  </a>
  <a r="1">
    <v>40</v>
  </a>
  <a r="1">
    <v>39.299999999999997</v>
  </a>
  <a r="1">
    <v>50.521000000000001</v>
  </a>
  <a r="1">
    <v>33.372999999999998</v>
  </a>
  <a r="1">
    <v>75.682000000000002</v>
  </a>
  <a r="1">
    <v>88.537000000000006</v>
  </a>
  <a r="1">
    <v>23.475000000000001</v>
  </a>
  <a r="1">
    <v>28.849</v>
  </a>
  <a r="1">
    <v>23.992000000000001</v>
  </a>
  <a r="1">
    <v>21.715</v>
  </a>
  <a r="1">
    <v>20.89</v>
  </a>
  <a r="1">
    <v>26.54</v>
  </a>
  <a r="1">
    <v>5.56</v>
  </a>
  <a r="1">
    <v>14.06</v>
  </a>
  <a r="1">
    <v>39.130000000000003</v>
  </a>
  <a r="1">
    <v>44.89</v>
  </a>
  <a r="1">
    <v>48.64</v>
  </a>
  <a r="1">
    <v>47.79</v>
  </a>
  <a r="1">
    <v>199.63</v>
  </a>
  <a r="1">
    <v>272.94</v>
  </a>
  <a r="1">
    <v>326.12</v>
  </a>
  <a r="1">
    <v>338.77</v>
  </a>
  <a r="1">
    <v>172.49</v>
  </a>
  <a r="1">
    <v>189.81</v>
  </a>
  <a r="1">
    <v>116.76</v>
  </a>
  <a r="1">
    <v>246.35</v>
  </a>
</arrayData>
</file>

<file path=xl/richData/rdrichvalue.xml><?xml version="1.0" encoding="utf-8"?>
<rvData xmlns="http://schemas.microsoft.com/office/spreadsheetml/2017/richdata" count="276">
  <rv s="0">
    <v>https://www.bing.com/financeapi/forcetrigger?t=a23hqh&amp;q=ARCX%3aSPY&amp;form=skydnc</v>
    <v>Learn more on Bing</v>
  </rv>
  <rv s="1">
    <v>en-CA</v>
    <v>a23hqh</v>
    <v>268435456</v>
    <v>1</v>
    <v>Powered by Refinitiv</v>
    <v>0</v>
    <v>State Street SPDR S&amp;P500 (ARCX:SPY)</v>
    <v>2</v>
    <v>3</v>
    <v>Finance</v>
    <v>4</v>
    <v>697.84</v>
    <v>481.8</v>
    <v>0.99860000000000004</v>
    <v>3.39</v>
    <v>4.9639999999999997E-3</v>
    <v>USD</v>
    <v>NYSE Arca</v>
    <v>ARCX</v>
    <v>8.9999999999999998E-4</v>
    <v>689.15</v>
    <v>ETF</v>
    <v>46072.041657210153</v>
    <v>0</v>
    <v>682.83</v>
    <v>708919250698.56995</v>
    <v>State Street SPDR S&amp;P500</v>
    <v>684.02</v>
    <v>682.85</v>
    <v>686.24</v>
    <v>SPY</v>
    <v>State Street SPDR S&amp;P500 (ARCX:SPY)</v>
    <v>73570341</v>
    <v>80598035</v>
  </rv>
  <rv s="2">
    <v>1</v>
  </rv>
  <rv s="0">
    <v>https://www.bing.com/financeapi/forcetrigger?t=a21mim&amp;q=XNAS%3aQQQ&amp;form=skydnc</v>
    <v>Learn more on Bing</v>
  </rv>
  <rv s="3">
    <v>en-CA</v>
    <v>a21mim</v>
    <v>268435456</v>
    <v>1</v>
    <v>Powered by Refinitiv</v>
    <v>5</v>
    <v>Invesco QQQ Trust 1 (XNAS:QQQ)</v>
    <v>2</v>
    <v>6</v>
    <v>Finance</v>
    <v>7</v>
    <v>637.01</v>
    <v>402.39</v>
    <v>0.97619999999999996</v>
    <v>4.49</v>
    <v>-5.6130000000000004E-4</v>
    <v>7.4670000000000005E-3</v>
    <v>-0.34</v>
    <v>USD</v>
    <v>Nasdaq Stock Market</v>
    <v>XNAS</v>
    <v>1.8E-3</v>
    <v>609.77099999999996</v>
    <v>ETF</v>
    <v>46072.041605323437</v>
    <v>3</v>
    <v>600.72</v>
    <v>411778069059.48999</v>
    <v>Invesco QQQ Trust 1</v>
    <v>602.11</v>
    <v>601.29999999999995</v>
    <v>605.79</v>
    <v>605.45000000000005</v>
    <v>QQQ</v>
    <v>Invesco QQQ Trust 1 (XNAS:QQQ)</v>
    <v>64250668</v>
    <v>62275053</v>
  </rv>
  <rv s="2">
    <v>4</v>
  </rv>
  <rv s="4">
    <v>9</v>
    <v>1</v>
  </rv>
  <rv s="0">
    <v>https://www.bing.com/financeapi/forcetrigger?t=ab1y3m&amp;q=XTSE%3aXIU&amp;form=skydnc</v>
    <v>Learn more on Bing</v>
  </rv>
  <rv s="5">
    <v>en-CA</v>
    <v>ab1y3m</v>
    <v>268435456</v>
    <v>1</v>
    <v>Powered by Refinitiv</v>
    <v>8</v>
    <v>iShares S&amp;P/TSX 60 Index ETF (XTSE:XIU)</v>
    <v>2</v>
    <v>9</v>
    <v>Finance</v>
    <v>10</v>
    <v>49.38</v>
    <v>33.869999999999997</v>
    <v>1.0166999999999999</v>
    <v>0.7</v>
    <v>1.4469000000000001E-2</v>
    <v>CAD</v>
    <v>Toronto Stock Exchange</v>
    <v>XTSE</v>
    <v>1.8E-3</v>
    <v>49.21</v>
    <v>ETF</v>
    <v>46071.874988425923</v>
    <v>7</v>
    <v>48.56</v>
    <v>21058987695.360001</v>
    <v>iShares S&amp;P/TSX 60 Index ETF</v>
    <v>48.6</v>
    <v>48.38</v>
    <v>49.08</v>
    <v>XIU</v>
    <v>iShares S&amp;P/TSX 60 Index ETF (XTSE:XIU)</v>
    <v>3247918</v>
  </rv>
  <rv s="2">
    <v>8</v>
  </rv>
  <rv s="0">
    <v>https://www.bing.com/financeapi/forcetrigger?t=a24b5r&amp;q=XNAS%3aTLT&amp;form=skydnc</v>
    <v>Learn more on Bing</v>
  </rv>
  <rv s="3">
    <v>en-CA</v>
    <v>a24b5r</v>
    <v>268435456</v>
    <v>1</v>
    <v>Powered by Refinitiv</v>
    <v>5</v>
    <v>iShares:20+ Trs Bd ETF (XNAS:TLT)</v>
    <v>2</v>
    <v>6</v>
    <v>Finance</v>
    <v>11</v>
    <v>94.09</v>
    <v>83.295000000000002</v>
    <v>1.0980000000000001</v>
    <v>-0.34</v>
    <v>-1.1169999999999999E-4</v>
    <v>-3.7830000000000003E-3</v>
    <v>-0.01</v>
    <v>USD</v>
    <v>Nasdaq Stock Market</v>
    <v>XNAS</v>
    <v>1.5E-3</v>
    <v>89.86</v>
    <v>ETF</v>
    <v>46072.041562245315</v>
    <v>10</v>
    <v>89.47</v>
    <v>45213559490.599998</v>
    <v>iShares:20+ Trs Bd ETF</v>
    <v>89.685000000000002</v>
    <v>89.87</v>
    <v>89.53</v>
    <v>89.52</v>
    <v>TLT</v>
    <v>iShares:20+ Trs Bd ETF (XNAS:TLT)</v>
    <v>35415364</v>
    <v>40482541</v>
  </rv>
  <rv s="2">
    <v>11</v>
  </rv>
  <rv s="6">
    <v>en-CA</v>
    <v>cfzfpr</v>
    <v>268435456</v>
    <v>1</v>
    <v>Powered by Refinitiv</v>
    <v>12</v>
    <v>Sprott Active Au &amp; Ag (XNAS:GBUG)</v>
    <v>13</v>
    <v>14</v>
    <v>Finance</v>
    <v>7</v>
    <v>57</v>
    <v>18.39</v>
    <v>1.0083</v>
    <v>0</v>
    <v>2.0320999999999999E-2</v>
    <v>0</v>
    <v>USD</v>
    <v>Nasdaq Stock Market</v>
    <v>XNAS</v>
    <v>8.8999999999999999E-3</v>
    <v>51.189900000000002</v>
    <v>ETF</v>
    <v>46071.885416793753</v>
    <v>49.91</v>
    <v>197879529.25</v>
    <v>Sprott Active Au &amp; Ag</v>
    <v>49.97</v>
    <v>49.617800000000003</v>
    <v>50.626100000000001</v>
    <v>50.626100000000001</v>
    <v>GBUG</v>
    <v>Sprott Active Au &amp; Ag (XNAS:GBUG)</v>
    <v>69023</v>
    <v>182329</v>
  </rv>
  <rv s="2">
    <v>13</v>
  </rv>
  <rv s="0">
    <v>https://www.bing.com/financeapi/forcetrigger?t=aay9k2&amp;q=XTSE%3aFNV&amp;form=skydnc</v>
    <v>Learn more on Bing</v>
  </rv>
  <rv s="7">
    <v>en-CA</v>
    <v>aay9k2</v>
    <v>268435456</v>
    <v>1</v>
    <v>Powered by Refinitiv</v>
    <v>15</v>
    <v>Franco-Nevada Corporation (XTSE:FNV)</v>
    <v>16</v>
    <v>17</v>
    <v>Finance</v>
    <v>18</v>
    <v>368.63</v>
    <v>196.16</v>
    <v>0.83879999999999999</v>
    <v>7.74</v>
    <v>0</v>
    <v>2.2740999999999997E-2</v>
    <v>0</v>
    <v>CAD</v>
    <v>Franco-Nevada Corporation is a Canada-based gold-focused royalty and streaming company. The Company’s segments include precious metals, other mining and energy. The Company’s portfolio is diversified by commodity, geography and asset. Its assets include Candelaria, Antapaccay, Antamina, Condestable, Tocantinzinho, Cerro Moro, Salares Norte, Cascabel (Alpala), Posse (Mara Rosa), CentroGold (Gurupi), Calcatreu, and San Jorge. Its other mining assets include NuevaUnion, Taca Taca, Caserones, Copper World Project, Ring of Fire, Mt Keith, Crawford, Robinson, EaglePicher, Copper World Project, and Milpillas. Its United States assets include Stillwater, Goldstrike, Gold Quarry, Marigold, Bald Mountain, South Arturo, Mesquite, Castle Mountain, Stibnite Gold, Sterling, Granite Creek (Pinson) and Arthur Gold Project. Its Canadian assets include Detour Lake, Sudbury, Hemlo, Brucejack, Macassa (Kirkland Lake), Dublin Gulch (Eagle), Musselwhite, and Timmins West.</v>
    <v>40</v>
    <v>Toronto Stock Exchange</v>
    <v>XTSE</v>
    <v>XTSE</v>
    <v>199 Bay Street, Suite 2000, P.O. Box 285, Commerce Court Postal Station, TORONTO, ON, M5L 1G9 CA</v>
    <v>350.6</v>
    <v>Metals &amp; Mining</v>
    <v>Stock</v>
    <v>46071.875</v>
    <v>15</v>
    <v>341.83</v>
    <v>67105708510</v>
    <v>Franco-Nevada Corporation</v>
    <v>Franco-Nevada Corporation</v>
    <v>344.4</v>
    <v>52.460700000000003</v>
    <v>340.36</v>
    <v>348.1</v>
    <v>348.1</v>
    <v>192777100</v>
    <v>FNV</v>
    <v>Franco-Nevada Corporation (XTSE:FNV)</v>
    <v>326283</v>
    <v>374520</v>
    <v>2008</v>
  </rv>
  <rv s="2">
    <v>16</v>
  </rv>
  <rv s="0">
    <v>https://www.bing.com/financeapi/forcetrigger?t=ab1tfr&amp;q=XTSE%3aWPM&amp;form=skydnc</v>
    <v>Learn more on Bing</v>
  </rv>
  <rv s="7">
    <v>en-CA</v>
    <v>ab1tfr</v>
    <v>268435456</v>
    <v>1</v>
    <v>Powered by Refinitiv</v>
    <v>15</v>
    <v>Wheaton Precious Metals Corp. (XTSE:WPM)</v>
    <v>16</v>
    <v>17</v>
    <v>Finance</v>
    <v>18</v>
    <v>214.41</v>
    <v>95.96</v>
    <v>0.99309999999999998</v>
    <v>4.42</v>
    <v>0</v>
    <v>2.2786000000000001E-2</v>
    <v>0</v>
    <v>CAD</v>
    <v>Wheaton Precious Metals Corp. is a Canada-based precious metals streaming company. The Company, through strategic streaming agreements, partners with mining companies to secure a portion of their future precious metal production. The Company has approximately 35 streaming agreements. It also has approximately five royalty agreements. Its portfolio includes a diverse mix of gold, silver, palladium, platinum and cobalt streams from 18 operating mines and 28 development projects. Its operating portfolio includes Antamina, Blackwater, Constancia, Cozamin, Los Filos, Marmato, Neves-Corvo, Penasquito, Salobo, San Dimas, Stillwater &amp; East Boulder, Sudbury, Voisey's Bay, and Zinkgruvan. The Company has also entered into a definitive agreement to acquire the Spring Valley Project located in Nevada, United States of America.</v>
    <v>42</v>
    <v>Toronto Stock Exchange</v>
    <v>XTSE</v>
    <v>XTSE</v>
    <v>Suite 3500 - 1021 West Hastings St., VANCOUVER, BC, V6E 0C3 CA</v>
    <v>200.75</v>
    <v>Metals &amp; Mining</v>
    <v>Stock</v>
    <v>46071.875</v>
    <v>18</v>
    <v>196.5</v>
    <v>90077151360</v>
    <v>Wheaton Precious Metals Corp.</v>
    <v>Wheaton Precious Metals Corp.</v>
    <v>198.22</v>
    <v>64.691100000000006</v>
    <v>193.98</v>
    <v>198.4</v>
    <v>198.4</v>
    <v>454017900</v>
    <v>WPM</v>
    <v>Wheaton Precious Metals Corp. (XTSE:WPM)</v>
    <v>615955</v>
    <v>816980</v>
    <v>1994</v>
  </rv>
  <rv s="2">
    <v>19</v>
  </rv>
  <rv s="0">
    <v>https://www.bing.com/financeapi/forcetrigger?t=aaxdur&amp;q=XTSE%3aCCO&amp;form=skydnc</v>
    <v>Learn more on Bing</v>
  </rv>
  <rv s="7">
    <v>en-CA</v>
    <v>aaxdur</v>
    <v>268435456</v>
    <v>1</v>
    <v>Powered by Refinitiv</v>
    <v>15</v>
    <v>CAMECO CORPORATION (XTSE:CCO)</v>
    <v>16</v>
    <v>17</v>
    <v>Finance</v>
    <v>18</v>
    <v>182.72</v>
    <v>49.75</v>
    <v>1.0448999999999999</v>
    <v>5.46</v>
    <v>0</v>
    <v>3.5441E-2</v>
    <v>0</v>
    <v>CAD</v>
    <v>Cameco Corporation is a provider of uranium fuel to generate baseload electricity around the globe. Its segments include uranium, fuel services and Westinghouse. The uranium segment involves the exploration for, mining, milling, purchase and sale of uranium concentrate. The fuel services segment involves the refining, conversion and fabrication of uranium concentrate and the purchase and sale of conversion services. The Westinghouse segment reflects its earnings from this equity-accounted investment. Westinghouse is a nuclear reactor technology original equipment manufacturer and a global provider of products and services to commercial utilities and government agencies. It provides outage and maintenance services, engineering support, instrumentation and controls equipment, plant modification, and components and parts to nuclear reactors. It has two operating mines, Cigar Lake and McArthur River as well as a mill at Key Lake. It also has ownership interests in Global Laser Enrichment.</v>
    <v>2424</v>
    <v>Toronto Stock Exchange</v>
    <v>XTSE</v>
    <v>XTSE</v>
    <v>2121 11th St W, SASKATOON, SK, S7M 1J3 CA</v>
    <v>161.5</v>
    <v>Uranium</v>
    <v>Stock</v>
    <v>46071.875</v>
    <v>21</v>
    <v>155.69999999999999</v>
    <v>69476224160</v>
    <v>CAMECO CORPORATION</v>
    <v>CAMECO CORPORATION</v>
    <v>156.72</v>
    <v>117.85039999999999</v>
    <v>154.06</v>
    <v>159.52000000000001</v>
    <v>159.52000000000001</v>
    <v>435533000</v>
    <v>CCO</v>
    <v>CAMECO CORPORATION (XTSE:CCO)</v>
    <v>883405</v>
    <v>1123750</v>
    <v>1997</v>
  </rv>
  <rv s="2">
    <v>22</v>
  </rv>
  <rv s="0">
    <v>https://www.bing.com/financeapi/forcetrigger?t=a1yv52&amp;q=XNAS%3aNVDA&amp;form=skydnc</v>
    <v>Learn more on Bing</v>
  </rv>
  <rv s="7">
    <v>en-CA</v>
    <v>a1yv52</v>
    <v>268435456</v>
    <v>1</v>
    <v>Powered by Refinitiv</v>
    <v>15</v>
    <v>NVIDIA CORPORATION (XNAS:NVDA)</v>
    <v>16</v>
    <v>19</v>
    <v>Finance</v>
    <v>20</v>
    <v>212.18989999999999</v>
    <v>86.62</v>
    <v>2.3212000000000002</v>
    <v>3.01</v>
    <v>-1.064E-4</v>
    <v>1.6272999999999999E-2</v>
    <v>-0.02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190.37</v>
    <v>Semiconductors &amp; Semiconductor Equipment</v>
    <v>Stock</v>
    <v>46072.041641770309</v>
    <v>24</v>
    <v>186.76</v>
    <v>4567914000000</v>
    <v>NVIDIA CORPORATION</v>
    <v>NVIDIA CORPORATION</v>
    <v>188.75</v>
    <v>46.559100000000001</v>
    <v>184.97</v>
    <v>187.98</v>
    <v>187.96</v>
    <v>24300000000</v>
    <v>NVDA</v>
    <v>NVIDIA CORPORATION (XNAS:NVDA)</v>
    <v>164749125</v>
    <v>173287884</v>
    <v>1998</v>
  </rv>
  <rv s="2">
    <v>25</v>
  </rv>
  <rv s="0">
    <v>https://www.bing.com/financeapi/forcetrigger?t=a1ndww&amp;q=XNAS%3aAMD&amp;form=skydnc</v>
    <v>Learn more on Bing</v>
  </rv>
  <rv s="7">
    <v>en-CA</v>
    <v>a1ndww</v>
    <v>268435456</v>
    <v>1</v>
    <v>Powered by Refinitiv</v>
    <v>15</v>
    <v>ADVANCED MICRO DEVICES, INC. (XNAS:AMD)</v>
    <v>16</v>
    <v>19</v>
    <v>Finance</v>
    <v>20</v>
    <v>267.07990000000001</v>
    <v>76.48</v>
    <v>1.9769000000000001</v>
    <v>-2.96</v>
    <v>-5.9960000000000005E-4</v>
    <v>-1.4576E-2</v>
    <v>-0.12</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203.2</v>
    <v>Semiconductors &amp; Semiconductor Equipment</v>
    <v>Stock</v>
    <v>46072.041657383597</v>
    <v>27</v>
    <v>195.0001</v>
    <v>326277849320</v>
    <v>ADVANCED MICRO DEVICES, INC.</v>
    <v>ADVANCED MICRO DEVICES, INC.</v>
    <v>198.405</v>
    <v>76.8386</v>
    <v>203.08</v>
    <v>200.12</v>
    <v>200</v>
    <v>1630411000</v>
    <v>AMD</v>
    <v>ADVANCED MICRO DEVICES, INC. (XNAS:AMD)</v>
    <v>35664087</v>
    <v>42904536</v>
    <v>1969</v>
  </rv>
  <rv s="2">
    <v>28</v>
  </rv>
  <rv s="0">
    <v>https://www.bing.com/financeapi/forcetrigger?t=a1u3p2&amp;q=XNAS%3aGOOG&amp;form=skydnc</v>
    <v>Learn more on Bing</v>
  </rv>
  <rv s="7">
    <v>en-CA</v>
    <v>a1u3p2</v>
    <v>268435456</v>
    <v>1</v>
    <v>Powered by Refinitiv</v>
    <v>15</v>
    <v>ALPHABET INC. (XNAS:GOOG)</v>
    <v>16</v>
    <v>19</v>
    <v>Finance</v>
    <v>21</v>
    <v>350.15</v>
    <v>142.66</v>
    <v>1.1095999999999999</v>
    <v>1.1200000000000001</v>
    <v>1.1840000000000002E-3</v>
    <v>3.699E-3</v>
    <v>0.36</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305.91000000000003</v>
    <v>Software &amp; IT Services</v>
    <v>Stock</v>
    <v>46072.041624501566</v>
    <v>30</v>
    <v>301.98</v>
    <v>3676762180000</v>
    <v>ALPHABET INC.</v>
    <v>ALPHABET INC.</v>
    <v>302.43200000000002</v>
    <v>28.1584</v>
    <v>302.82</v>
    <v>303.94</v>
    <v>304.3</v>
    <v>12097000000</v>
    <v>GOOG</v>
    <v>ALPHABET INC. (XNAS:GOOG)</v>
    <v>15847701</v>
    <v>24434945</v>
    <v>2015</v>
  </rv>
  <rv s="2">
    <v>31</v>
  </rv>
  <rv s="0">
    <v>https://www.bing.com/financeapi/forcetrigger?t=a269ec&amp;q=XNYS%3aXOM&amp;form=skydnc</v>
    <v>Learn more on Bing</v>
  </rv>
  <rv s="7">
    <v>en-CA</v>
    <v>a269ec</v>
    <v>268435456</v>
    <v>1</v>
    <v>Powered by Refinitiv</v>
    <v>15</v>
    <v>EXXON MOBIL CORPORATION (XNYS:XOM)</v>
    <v>16</v>
    <v>19</v>
    <v>Finance</v>
    <v>20</v>
    <v>156.93</v>
    <v>97.8</v>
    <v>0.35360000000000003</v>
    <v>4.49</v>
    <v>1.6259999999999998E-3</v>
    <v>3.0713000000000001E-2</v>
    <v>0.245</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150.97999999999999</v>
    <v>Oil &amp; Gas</v>
    <v>Stock</v>
    <v>46072.041644120312</v>
    <v>33</v>
    <v>147.61000000000001</v>
    <v>629691720000</v>
    <v>EXXON MOBIL CORPORATION</v>
    <v>EXXON MOBIL CORPORATION</v>
    <v>148.15</v>
    <v>22.506900000000002</v>
    <v>146.19</v>
    <v>150.68</v>
    <v>150.92500000000001</v>
    <v>4179000000</v>
    <v>XOM</v>
    <v>EXXON MOBIL CORPORATION (XNYS:XOM)</v>
    <v>19849670</v>
    <v>21641066</v>
    <v>1882</v>
  </rv>
  <rv s="2">
    <v>34</v>
  </rv>
  <rv s="0">
    <v>https://www.bing.com/financeapi/forcetrigger?t=a1qlz2&amp;q=XNYS%3aCVX&amp;form=skydnc</v>
    <v>Learn more on Bing</v>
  </rv>
  <rv s="7">
    <v>en-CA</v>
    <v>a1qlz2</v>
    <v>268435456</v>
    <v>1</v>
    <v>Powered by Refinitiv</v>
    <v>15</v>
    <v>CHEVRON CORPORATION (XNYS:CVX)</v>
    <v>16</v>
    <v>19</v>
    <v>Finance</v>
    <v>20</v>
    <v>186.52</v>
    <v>132.04</v>
    <v>0.66679999999999995</v>
    <v>3.32</v>
    <v>7.0699999999999995E-4</v>
    <v>1.8388000000000002E-2</v>
    <v>0.13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183.92</v>
    <v>Oil &amp; Gas</v>
    <v>Stock</v>
    <v>46072.041327812498</v>
    <v>36</v>
    <v>181.98</v>
    <v>364062600000</v>
    <v>CHEVRON CORPORATION</v>
    <v>CHEVRON CORPORATION</v>
    <v>183.23</v>
    <v>27.658000000000001</v>
    <v>180.55</v>
    <v>183.87</v>
    <v>184</v>
    <v>1980000000</v>
    <v>CVX</v>
    <v>CHEVRON CORPORATION (XNYS:CVX)</v>
    <v>10313434</v>
    <v>11635510</v>
    <v>1926</v>
  </rv>
  <rv s="2">
    <v>37</v>
  </rv>
  <rv s="6">
    <v>en-CA</v>
    <v>cc5pdm</v>
    <v>268435456</v>
    <v>1</v>
    <v>Powered by Refinitiv</v>
    <v>12</v>
    <v>iShares Bitcoin Trust (XNAS:IBIT)</v>
    <v>13</v>
    <v>14</v>
    <v>Finance</v>
    <v>7</v>
    <v>71.819999999999993</v>
    <v>35.299999999999997</v>
    <v>-0.85</v>
    <v>3.189E-3</v>
    <v>-2.2141000000000001E-2</v>
    <v>0.1197</v>
    <v>USD</v>
    <v>Nasdaq Stock Market</v>
    <v>XNAS</v>
    <v>2.5000000000000001E-3</v>
    <v>38.75</v>
    <v>ETF</v>
    <v>46072.041638726565</v>
    <v>37.299999999999997</v>
    <v>64803765803.980003</v>
    <v>iShares Bitcoin Trust</v>
    <v>38</v>
    <v>38.39</v>
    <v>37.54</v>
    <v>37.659700000000001</v>
    <v>IBIT</v>
    <v>iShares Bitcoin Trust (XNAS:IBIT)</v>
    <v>50091290</v>
    <v>81560942</v>
  </rv>
  <rv s="2">
    <v>39</v>
  </rv>
  <rv s="6">
    <v>en-CA</v>
    <v>ce8mrw</v>
    <v>268435456</v>
    <v>1</v>
    <v>Powered by Refinitiv</v>
    <v>12</v>
    <v>iShares Ethereum Trust (XNAS:ETHA)</v>
    <v>13</v>
    <v>14</v>
    <v>Finance</v>
    <v>11</v>
    <v>36.799999999999997</v>
    <v>10.99</v>
    <v>-0.42</v>
    <v>8.8859999999999998E-3</v>
    <v>-2.7907000000000001E-2</v>
    <v>0.13</v>
    <v>USD</v>
    <v>Nasdaq Stock Market</v>
    <v>XNAS</v>
    <v>1.1999999999999999E-3</v>
    <v>15.19</v>
    <v>ETF</v>
    <v>46072.041543622654</v>
    <v>14.52</v>
    <v>9144441799.9599991</v>
    <v>iShares Ethereum Trust</v>
    <v>14.835000000000001</v>
    <v>15.05</v>
    <v>14.63</v>
    <v>14.76</v>
    <v>ETHA</v>
    <v>iShares Ethereum Trust (XNAS:ETHA)</v>
    <v>33189928</v>
    <v>50289476</v>
  </rv>
  <rv s="2">
    <v>41</v>
  </rv>
  <rv s="0">
    <v>https://www.bing.com/financeapi/forcetrigger?t=a1sp52&amp;q=XNYS%3aFCX&amp;form=skydnc</v>
    <v>Learn more on Bing</v>
  </rv>
  <rv s="7">
    <v>en-CA</v>
    <v>a1sp52</v>
    <v>268435456</v>
    <v>1</v>
    <v>Powered by Refinitiv</v>
    <v>15</v>
    <v>FREEPORT-MCMORAN INC. (XNYS:FCX)</v>
    <v>16</v>
    <v>19</v>
    <v>Finance</v>
    <v>21</v>
    <v>69.44</v>
    <v>27.66</v>
    <v>1.4279999999999999</v>
    <v>1.46</v>
    <v>-2.8779999999999999E-3</v>
    <v>2.3899E-2</v>
    <v>-0.18</v>
    <v>USD</v>
    <v>Freeport-McMoRan Inc. is an international metals company focused on copper. The Company operates geographically diverse assets with significant proven and probable mineral reserves of copper, gold and molybdenum. The Company's segments include the Morenci and Cerro Verde copper mines, the Indonesia operations (including the Grasberg minerals district and PT-FI’s downstream processing facilities), the Rod &amp; Refining operations and Atlantic Copper Smelting &amp; Refining. Its operations include North America, South America and Indonesia. In North America, it manages seven copper operations: Morenci, Bagdad, Safford (including Lone Star), Sierrita and Miami in Arizona, and Chino and Tyrone in New Mexico, and two molybdenum mines: Henderson and Climax in Colorado. It also operates a copper smelter in Miami, Arizona. In South America, it manages two copper operations: Cerro Verde in Peru and El Abra in Chile. In addition to copper, the Grasberg minerals district also produces gold and silver.</v>
    <v>29000</v>
    <v>New York Stock Exchange</v>
    <v>XNYS</v>
    <v>XNYS</v>
    <v>333 N Central Ave, PHOENIX, AZ, 85004 US</v>
    <v>63.18</v>
    <v>Metals &amp; Mining</v>
    <v>Stock</v>
    <v>46072.041372950778</v>
    <v>43</v>
    <v>61.55</v>
    <v>89896985100</v>
    <v>FREEPORT-MCMORAN INC.</v>
    <v>FREEPORT-MCMORAN INC.</v>
    <v>62.76</v>
    <v>40.957000000000001</v>
    <v>61.09</v>
    <v>62.55</v>
    <v>62.37</v>
    <v>1437202000</v>
    <v>FCX</v>
    <v>FREEPORT-MCMORAN INC. (XNYS:FCX)</v>
    <v>17244815</v>
    <v>23186437</v>
    <v>1987</v>
  </rv>
  <rv s="2">
    <v>44</v>
  </rv>
  <rv s="0">
    <v>https://www.bing.com/financeapi/forcetrigger?t=a1upz2&amp;q=XNYS%3aHL&amp;form=skydnc</v>
    <v>Learn more on Bing</v>
  </rv>
  <rv s="7">
    <v>en-CA</v>
    <v>a1upz2</v>
    <v>268435456</v>
    <v>1</v>
    <v>Powered by Refinitiv</v>
    <v>15</v>
    <v>HECLA MINING COMPANY (XNYS:HL)</v>
    <v>16</v>
    <v>19</v>
    <v>Finance</v>
    <v>20</v>
    <v>34.17</v>
    <v>4.46</v>
    <v>1.254</v>
    <v>0.78</v>
    <v>-9.0829999999999991E-4</v>
    <v>3.6722999999999999E-2</v>
    <v>-0.02</v>
    <v>USD</v>
    <v>Hecla Mining Company is a silver producer in the United States and Canada. The Company discovers, acquires and develops mines and other mineral interests and produces and markets concentrates containing silver, gold, lead, zinc and copper; carbon material containing silver and gold, and unrefined dore containing silver and gold. The Company's segments include Greens Creek, Lucky Friday, Keno Hill and Casa Berardi. The Greens Creek operation is located on Admiralty Island, near Juneau, Alaska. The Greens Creek ore body contains silver, zinc, gold and lead. The Lucky Friday mine is a deep underground silver, lead, and zinc mine located in the Coeur d’Alene Mining District in northern Idaho. The Casa Berardi mine is an underground/open-pit gold mine located in western Quebec. It owns 100% of the Keno Hill Silver Project, which is located within the Keno Hill Silver District in Canada’s Yukon Territory. The Company also owns a number of exploration and pre-development projects.</v>
    <v>1830</v>
    <v>New York Stock Exchange</v>
    <v>XNYS</v>
    <v>XNYS</v>
    <v>NONE, 6500 N MINERAL DRIVE SUITE 200, COEUR D'ALENE, ID, 83815-9408 US</v>
    <v>23.53</v>
    <v>Metals &amp; Mining</v>
    <v>Stock</v>
    <v>46072.041411133592</v>
    <v>46</v>
    <v>21.9</v>
    <v>14761102596</v>
    <v>HECLA MINING COMPANY</v>
    <v>HECLA MINING COMPANY</v>
    <v>23.12</v>
    <v>45.023299999999999</v>
    <v>21.24</v>
    <v>22.02</v>
    <v>22</v>
    <v>670098700</v>
    <v>HL</v>
    <v>HECLA MINING COMPANY (XNYS:HL)</v>
    <v>27865282</v>
    <v>29492436</v>
    <v>2006</v>
  </rv>
  <rv s="2">
    <v>47</v>
  </rv>
  <rv s="0">
    <v>https://www.bing.com/financeapi/forcetrigger?t=a233ur&amp;q=ARCX%3aSLV&amp;form=skydnc</v>
    <v>Learn more on Bing</v>
  </rv>
  <rv s="3">
    <v>en-CA</v>
    <v>a233ur</v>
    <v>268435456</v>
    <v>1</v>
    <v>Powered by Refinitiv</v>
    <v>5</v>
    <v>IShares:Silver Trust (ARCX:SLV)</v>
    <v>2</v>
    <v>6</v>
    <v>Finance</v>
    <v>11</v>
    <v>109.83</v>
    <v>26.57</v>
    <v>1.7767999999999999</v>
    <v>3.72</v>
    <v>-1.0525E-2</v>
    <v>5.6048999999999995E-2</v>
    <v>-0.73770000000000002</v>
    <v>USD</v>
    <v>NYSE Arca</v>
    <v>ARCX</v>
    <v>5.0000000000000001E-3</v>
    <v>70.97</v>
    <v>ETF</v>
    <v>46072.041667777346</v>
    <v>49</v>
    <v>69.069999999999993</v>
    <v>51481949150.650002</v>
    <v>IShares:Silver Trust</v>
    <v>69.66</v>
    <v>66.37</v>
    <v>70.09</v>
    <v>69.3523</v>
    <v>SLV</v>
    <v>IShares:Silver Trust (ARCX:SLV)</v>
    <v>63749363</v>
    <v>160900950</v>
  </rv>
  <rv s="2">
    <v>50</v>
  </rv>
  <rv s="0">
    <v>https://www.bing.com/financeapi/forcetrigger?t=a1mou2&amp;q=XNAS%3aAAPL&amp;form=skydnc</v>
    <v>Learn more on Bing</v>
  </rv>
  <rv s="7">
    <v>en-CA</v>
    <v>a1mou2</v>
    <v>268435456</v>
    <v>1</v>
    <v>Powered by Refinitiv</v>
    <v>15</v>
    <v>APPLE INC. (XNAS:AAPL)</v>
    <v>16</v>
    <v>19</v>
    <v>Finance</v>
    <v>20</v>
    <v>288.62</v>
    <v>169.21010000000001</v>
    <v>1.1012999999999999</v>
    <v>0.47</v>
    <v>-3.9719999999999998E-3</v>
    <v>1.781E-3</v>
    <v>-1.05</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266.82</v>
    <v>Computers, Phones &amp; Household Electronics</v>
    <v>Stock</v>
    <v>46072.041537013283</v>
    <v>52</v>
    <v>262.45</v>
    <v>3886658745000</v>
    <v>APPLE INC.</v>
    <v>APPLE INC.</v>
    <v>263.60000000000002</v>
    <v>33.584899999999998</v>
    <v>263.88</v>
    <v>264.35000000000002</v>
    <v>263.3</v>
    <v>14702700000</v>
    <v>AAPL</v>
    <v>APPLE INC. (XNAS:AAPL)</v>
    <v>34203337</v>
    <v>56980282</v>
    <v>1977</v>
  </rv>
  <rv s="2">
    <v>53</v>
  </rv>
  <rv s="0">
    <v>https://www.bing.com/financeapi/forcetrigger?t=a1zfec&amp;q=XNAS%3aPAAS&amp;form=skydnc</v>
    <v>Learn more on Bing</v>
  </rv>
  <rv s="7">
    <v>en-CA</v>
    <v>a1zfec</v>
    <v>268435456</v>
    <v>1</v>
    <v>Powered by Refinitiv</v>
    <v>15</v>
    <v>Pan American Silver Corp. (XNYS:PAAS)</v>
    <v>16</v>
    <v>22</v>
    <v>Finance</v>
    <v>20</v>
    <v>69.989999999999995</v>
    <v>20.55</v>
    <v>1.2342</v>
    <v>1.92</v>
    <v>1.3617999999999998E-2</v>
    <v>3.4230999999999998E-2</v>
    <v>0.79</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58.38</v>
    <v>Metals &amp; Mining</v>
    <v>Stock</v>
    <v>46072.041549085159</v>
    <v>55</v>
    <v>56.5</v>
    <v>32779090000</v>
    <v>Pan American Silver Corp.</v>
    <v>Pan American Silver Corp.</v>
    <v>57.33</v>
    <v>33.548699999999997</v>
    <v>56.09</v>
    <v>58.01</v>
    <v>58.8</v>
    <v>421976000</v>
    <v>PAAS</v>
    <v>Pan American Silver Corp. (XNYS:PAAS)</v>
    <v>7545664</v>
    <v>10012884</v>
    <v>1979</v>
  </rv>
  <rv s="2">
    <v>56</v>
  </rv>
  <rv s="0">
    <v>https://www.bing.com/financeapi/forcetrigger?t=ab1ic7&amp;q=XTSE%3aTRI&amp;form=skydnc</v>
    <v>Learn more on Bing</v>
  </rv>
  <rv s="7">
    <v>en-CA</v>
    <v>ab1ic7</v>
    <v>268435456</v>
    <v>1</v>
    <v>Powered by Refinitiv</v>
    <v>15</v>
    <v>THOMSON REUTERS CORPORATION (XTSE:TRI)</v>
    <v>16</v>
    <v>17</v>
    <v>Finance</v>
    <v>18</v>
    <v>299.24</v>
    <v>112.145</v>
    <v>0.21290000000000001</v>
    <v>3.9</v>
    <v>0</v>
    <v>3.4367000000000002E-2</v>
    <v>0</v>
    <v>CAD</v>
    <v>Thomson Reuters Corporation is a content and technology company. The Legal Professionals segment serves law firms and governments with research and workflow products powered by technologies, including generative artificial intelligence (AI). The Corporates segment serves corporations ranging from small businesses to multinational organizations with a full suite of content-driven products, powered by technologies, including generative AI. The Tax &amp; Accounting Professionals segment serves tax, audit and accounting firms with research and workflow products powered by technologies, including generative AI. The Reuters News segment supplies business, financial and global news and data to media organizations, professionals and news consumers through Reuters News Agency, Reuters.com, Reuters Events, Thomson Reuters products and to financial firms exclusively via LSEG products. The Global Print segment provides legal and tax information and commercial printing services.</v>
    <v>26400</v>
    <v>Toronto Stock Exchange</v>
    <v>XTSE</v>
    <v>XTSE</v>
    <v>19 Duncan Street, TORONTO, ON, M5H 3H1 CA</v>
    <v>118.41</v>
    <v>Professional &amp; Commercial Services</v>
    <v>Stock</v>
    <v>46071.875</v>
    <v>58</v>
    <v>112.7</v>
    <v>52234100000</v>
    <v>THOMSON REUTERS CORPORATION</v>
    <v>THOMSON REUTERS CORPORATION</v>
    <v>114.04</v>
    <v>26.0016</v>
    <v>113.48</v>
    <v>117.38</v>
    <v>117.38</v>
    <v>445000000</v>
    <v>TRI</v>
    <v>THOMSON REUTERS CORPORATION (XTSE:TRI)</v>
    <v>507358</v>
    <v>1530930</v>
    <v>2010</v>
  </rv>
  <rv s="2">
    <v>59</v>
  </rv>
  <rv s="0">
    <v>https://www.bing.com/financeapi/forcetrigger?t=a24kar&amp;q=XNAS%3aTSLA&amp;form=skydnc</v>
    <v>Learn more on Bing</v>
  </rv>
  <rv s="7">
    <v>en-CA</v>
    <v>a24kar</v>
    <v>268435456</v>
    <v>1</v>
    <v>Powered by Refinitiv</v>
    <v>15</v>
    <v>TESLA, INC. (XNAS:TSLA)</v>
    <v>16</v>
    <v>19</v>
    <v>Finance</v>
    <v>20</v>
    <v>498.83</v>
    <v>214.25</v>
    <v>1.8932</v>
    <v>0.69</v>
    <v>-2.5409999999999999E-3</v>
    <v>1.6800000000000001E-3</v>
    <v>-1.0449999999999999</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416.9</v>
    <v>Automobiles &amp; Auto Parts</v>
    <v>Stock</v>
    <v>46072.041665578123</v>
    <v>61</v>
    <v>409.58</v>
    <v>1543450330240</v>
    <v>TESLA, INC.</v>
    <v>TESLA, INC.</v>
    <v>411.11</v>
    <v>382.48090000000002</v>
    <v>410.63</v>
    <v>411.32</v>
    <v>410.27499999999998</v>
    <v>3752432000</v>
    <v>TSLA</v>
    <v>TESLA, INC. (XNAS:TSLA)</v>
    <v>45921402</v>
    <v>60932674</v>
    <v>2024</v>
  </rv>
  <rv s="2">
    <v>62</v>
  </rv>
  <rv s="8">
    <v>en-CA</v>
    <v>avylur</v>
    <v>268435456</v>
    <v>1</v>
    <v>Powered by Refinitiv</v>
    <v>23</v>
    <v>USD/CAD</v>
    <v>13</v>
    <v>24</v>
    <v>Finance</v>
    <v>25</v>
    <v>1.4542999999999999</v>
    <v>1.3479000000000001</v>
    <v>-1.2999999999999999E-3</v>
    <v>-9.4930000000000004E-4</v>
    <v>CAD</v>
    <v>USD</v>
    <v>1.3704000000000001</v>
    <v>Currency Pair</v>
    <v>46072.34003472222</v>
    <v>1.3677999999999999</v>
    <v>US Dollar/Canadian Dollar FX Spot Rate</v>
    <v>1.3694</v>
    <v>1.3694999999999999</v>
    <v>1.3682000000000001</v>
    <v>USDCAD</v>
    <v>USD/CAD</v>
  </rv>
  <rv s="2">
    <v>64</v>
  </rv>
  <rv s="8">
    <v>en-CA</v>
    <v>bo8l6h</v>
    <v>268435456</v>
    <v>1</v>
    <v>Powered by Refinitiv</v>
    <v>23</v>
    <v>BTC/USD</v>
    <v>13</v>
    <v>26</v>
    <v>Finance</v>
    <v>25</v>
    <v>126223.18</v>
    <v>60008.52</v>
    <v>772.49</v>
    <v>1.1647000000000001E-2</v>
    <v>USD</v>
    <v>BTC</v>
    <v>67300.070000000007</v>
    <v>Currency Pair</v>
    <v>46072.340069444443</v>
    <v>66213.289999999994</v>
    <v>Bitcoin/US Dollar FX Spot Rate</v>
    <v>66323.77</v>
    <v>66324.240000000005</v>
    <v>67096.73</v>
    <v>BTCUSD</v>
    <v>BTC/USD</v>
  </rv>
  <rv s="2">
    <v>66</v>
  </rv>
  <rv s="8">
    <v>en-CA</v>
    <v>brjcfr</v>
    <v>268435456</v>
    <v>1</v>
    <v>Powered by Refinitiv</v>
    <v>23</v>
    <v>ETH/USD</v>
    <v>13</v>
    <v>26</v>
    <v>Finance</v>
    <v>25</v>
    <v>4955.1400000000003</v>
    <v>1387.02</v>
    <v>36.82</v>
    <v>1.8963000000000001E-2</v>
    <v>USD</v>
    <v>ETH</v>
    <v>1986.91</v>
    <v>Currency Pair</v>
    <v>46072.340104166666</v>
    <v>1939.05</v>
    <v>Ether/US Dollar FX Spot Rate</v>
    <v>1941.71</v>
    <v>1941.71</v>
    <v>1978.53</v>
    <v>ETHUSD</v>
    <v>ETH/USD</v>
  </rv>
  <rv s="2">
    <v>68</v>
  </rv>
  <rv s="8">
    <v>en-CA</v>
    <v>avyn9c</v>
    <v>268435456</v>
    <v>1</v>
    <v>Powered by Refinitiv</v>
    <v>23</v>
    <v>USD/EUR</v>
    <v>13</v>
    <v>27</v>
    <v>Finance</v>
    <v>25</v>
    <v>0.96519999999999995</v>
    <v>0.82779999999999998</v>
    <v>-1.1999999999999999E-3</v>
    <v>-1.4139999999999999E-3</v>
    <v>EUR</v>
    <v>USD</v>
    <v>0.84850000000000003</v>
    <v>Currency Pair</v>
    <v>46072.340069444443</v>
    <v>0.84719999999999995</v>
    <v>US Dollar/Euro FX Cross Rate</v>
    <v>0.84850000000000003</v>
    <v>0.84850000000000003</v>
    <v>0.84730000000000005</v>
    <v>USDEUR</v>
    <v>USD/EUR</v>
  </rv>
  <rv s="2">
    <v>70</v>
  </rv>
  <rv s="8">
    <v>en-CA</v>
    <v>avyomw</v>
    <v>268435456</v>
    <v>1</v>
    <v>Powered by Refinitiv</v>
    <v>23</v>
    <v>USD/JPY</v>
    <v>13</v>
    <v>28</v>
    <v>Finance</v>
    <v>25</v>
    <v>159.44999999999999</v>
    <v>139.86000000000001</v>
    <v>0.11</v>
    <v>7.1049999999999998E-4</v>
    <v>JPY</v>
    <v>USD</v>
    <v>155.34</v>
    <v>Currency Pair</v>
    <v>46072.340104166666</v>
    <v>154.63</v>
    <v>US Dollar/Japanese Yen FX Spot Rate</v>
    <v>154.78</v>
    <v>154.82</v>
    <v>154.93</v>
    <v>USDJPY</v>
    <v>USD/JPY</v>
  </rv>
  <rv s="2">
    <v>72</v>
  </rv>
  <rv s="9">
    <v>en-CA</v>
    <v>avym77</v>
    <v>268435456</v>
    <v>1</v>
    <v>Powered by Refinitiv</v>
    <v>29</v>
    <v>USD/CNY</v>
    <v>13</v>
    <v>30</v>
    <v>Finance</v>
    <v>25</v>
    <v>7.3509000000000002</v>
    <v>6.8998999999999997</v>
    <v>0</v>
    <v>0</v>
    <v>CNY</v>
    <v>USD</v>
    <v>Currency Pair</v>
    <v>46066.396585648145</v>
    <v>US Dollar/Chinese Renminbi FX Spot Rate</v>
    <v>6.9080000000000004</v>
    <v>6.9080000000000004</v>
    <v>USDCNY</v>
    <v>USD/CNY</v>
  </rv>
  <rv s="2">
    <v>74</v>
  </rv>
  <rv s="8">
    <v>en-CA</v>
    <v>avytp2</v>
    <v>268435456</v>
    <v>1</v>
    <v>Powered by Refinitiv</v>
    <v>23</v>
    <v>USD/TRY</v>
    <v>13</v>
    <v>31</v>
    <v>Finance</v>
    <v>25</v>
    <v>43.774299999999997</v>
    <v>35.819600000000001</v>
    <v>2.81E-2</v>
    <v>6.4250000000000006E-4</v>
    <v>TRY</v>
    <v>USD</v>
    <v>43.774299999999997</v>
    <v>Currency Pair</v>
    <v>46072.340069444443</v>
    <v>43.706000000000003</v>
    <v>US Dollar/Turkish Lira FX Spot Rate</v>
    <v>43.743600000000001</v>
    <v>43.738799999999998</v>
    <v>43.7669</v>
    <v>USDTRY</v>
    <v>USD/TRY</v>
  </rv>
  <rv s="2">
    <v>76</v>
  </rv>
  <rv s="8">
    <v>en-CA</v>
    <v>avyo8m</v>
    <v>268435456</v>
    <v>1</v>
    <v>Powered by Refinitiv</v>
    <v>23</v>
    <v>USD/INR</v>
    <v>13</v>
    <v>32</v>
    <v>Finance</v>
    <v>25</v>
    <v>92.212999999999994</v>
    <v>83.76</v>
    <v>0.27</v>
    <v>2.9740000000000001E-3</v>
    <v>INR</v>
    <v>USD</v>
    <v>91.203999999999994</v>
    <v>Currency Pair</v>
    <v>46072.339942129627</v>
    <v>90.71</v>
    <v>US Dollar/Indian Rupee FX Spot Rate</v>
    <v>90.763000000000005</v>
    <v>90.775000000000006</v>
    <v>91.045000000000002</v>
    <v>USDINR</v>
    <v>USD/INR</v>
  </rv>
  <rv s="2">
    <v>78</v>
  </rv>
  <rv s="8">
    <v>en-CA</v>
    <v>avyspr</v>
    <v>268435456</v>
    <v>1</v>
    <v>Powered by Refinitiv</v>
    <v>23</v>
    <v>USD/SGD</v>
    <v>13</v>
    <v>33</v>
    <v>Finance</v>
    <v>25</v>
    <v>1.355</v>
    <v>1.2582</v>
    <v>1E-4</v>
    <v>7.8949999999999995E-5</v>
    <v>SGD</v>
    <v>USD</v>
    <v>1.2682</v>
    <v>Currency Pair</v>
    <v>46072.340046296296</v>
    <v>1.2665</v>
    <v>US Dollar/Singapore Dollar FX Spot Rate</v>
    <v>1.2665999999999999</v>
    <v>1.2666999999999999</v>
    <v>1.2667999999999999</v>
    <v>USDSGD</v>
    <v>USD/SGD</v>
  </rv>
  <rv s="2">
    <v>80</v>
  </rv>
  <rv s="8">
    <v>en-CA</v>
    <v>avytar</v>
    <v>268435456</v>
    <v>1</v>
    <v>Powered by Refinitiv</v>
    <v>23</v>
    <v>USD/TWD</v>
    <v>13</v>
    <v>34</v>
    <v>Finance</v>
    <v>25</v>
    <v>33.295000000000002</v>
    <v>28.734000000000002</v>
    <v>8.0000000000000002E-3</v>
    <v>2.5369999999999999E-4</v>
    <v>TWD</v>
    <v>USD</v>
    <v>31.564</v>
    <v>Currency Pair</v>
    <v>46072.339953703704</v>
    <v>31.5</v>
    <v>US Dollar/Taiwan Dollar FX Spot Rate</v>
    <v>31.529</v>
    <v>31.529</v>
    <v>31.536999999999999</v>
    <v>USDTWD</v>
    <v>USD/TWD</v>
  </rv>
  <rv s="2">
    <v>82</v>
  </rv>
  <rv s="0">
    <v>https://www.bing.com/financeapi/forcetrigger?t=auvwoc&amp;q=Gold&amp;form=skydnc</v>
    <v>Learn more on Bing</v>
  </rv>
  <rv s="10">
    <v>en-CA</v>
    <v>auvwoc</v>
    <v>268435456</v>
    <v>1</v>
    <v>Powered by Refinitiv</v>
    <v>35</v>
    <v>Gold</v>
    <v>2</v>
    <v>36</v>
    <v>Finance</v>
    <v>Metal</v>
    <v>19.3</v>
    <v>3.8529999999999997E-3</v>
    <v>US</v>
    <v>USD</v>
    <v>43830</v>
    <v>Future</v>
    <v>46072.333126654688</v>
    <v>84</v>
    <v>12</v>
    <v>Gold</v>
    <v>5028.8</v>
    <v>@GC0Y</v>
    <v>OZS</v>
    <v>Gold</v>
    <v>2019</v>
  </rv>
  <rv s="2">
    <v>85</v>
  </rv>
  <rv s="0">
    <v>https://www.bing.com/financeapi/forcetrigger?t=auvwr7&amp;q=Silver&amp;form=skydnc</v>
    <v>Learn more on Bing</v>
  </rv>
  <rv s="10">
    <v>en-CA</v>
    <v>auvwr7</v>
    <v>268435456</v>
    <v>1</v>
    <v>Powered by Refinitiv</v>
    <v>35</v>
    <v>Silver</v>
    <v>2</v>
    <v>36</v>
    <v>Finance</v>
    <v>Metal</v>
    <v>1.1919999999999999</v>
    <v>1.5361E-2</v>
    <v>US</v>
    <v>USD</v>
    <v>43830</v>
    <v>Future</v>
    <v>46072.332874895314</v>
    <v>87</v>
    <v>12</v>
    <v>Silver</v>
    <v>78.790000000000006</v>
    <v>@SI0Y</v>
    <v>OZS</v>
    <v>Silver</v>
    <v>2019</v>
  </rv>
  <rv s="2">
    <v>88</v>
  </rv>
  <rv s="0">
    <v>https://www.bing.com/financeapi/forcetrigger?t=auvwu2&amp;q=Platinum&amp;form=skydnc</v>
    <v>Learn more on Bing</v>
  </rv>
  <rv s="10">
    <v>en-CA</v>
    <v>auvwu2</v>
    <v>268435456</v>
    <v>1</v>
    <v>Powered by Refinitiv</v>
    <v>35</v>
    <v>Platinum</v>
    <v>2</v>
    <v>36</v>
    <v>Finance</v>
    <v>Metal</v>
    <v>-6.4</v>
    <v>-3.029E-3</v>
    <v>US</v>
    <v>USD</v>
    <v>43861</v>
    <v>Future</v>
    <v>46072.333164941403</v>
    <v>90</v>
    <v>1</v>
    <v>Platinum</v>
    <v>2106.5</v>
    <v>@PL0Y</v>
    <v>OZS</v>
    <v>Platinum</v>
    <v>2020</v>
  </rv>
  <rv s="2">
    <v>91</v>
  </rv>
  <rv s="0">
    <v>https://www.bing.com/financeapi/forcetrigger?t=auvx6h&amp;q=Natural+Gas&amp;form=skydnc</v>
    <v>Learn more on Bing</v>
  </rv>
  <rv s="10">
    <v>en-CA</v>
    <v>auvx6h</v>
    <v>268435456</v>
    <v>1</v>
    <v>Powered by Refinitiv</v>
    <v>35</v>
    <v>Natural Gas</v>
    <v>2</v>
    <v>36</v>
    <v>Finance</v>
    <v>Energy</v>
    <v>2E-3</v>
    <v>6.642000000000001E-4</v>
    <v>US</v>
    <v>USD</v>
    <v>43799</v>
    <v>Future</v>
    <v>46072.332689178125</v>
    <v>93</v>
    <v>11</v>
    <v>Natural Gas</v>
    <v>3.0129999999999999</v>
    <v>@NG0Y</v>
    <v>MMBTU</v>
    <v>Natural Gas</v>
    <v>2019</v>
  </rv>
  <rv s="2">
    <v>94</v>
  </rv>
  <rv s="11">
    <v>37</v>
    <v>a1u3p2</v>
    <v>Daily</v>
    <v>46038</v>
    <v>46038</v>
    <v>0</v>
    <v>1</v>
    <v>639041184000000000,639070844565634126,0</v>
    <v>0</v>
    <v>a1u3p2</v>
    <v>XNAS:GOOG</v>
    <v>1</v>
  </rv>
  <rv s="11">
    <v>37</v>
    <v>a1u3p2</v>
    <v>Daily</v>
    <v>46065</v>
    <v>46065</v>
    <v>0</v>
    <v>1</v>
    <v>639064512000000000,639070848010234311,0</v>
    <v>0</v>
    <v>a1u3p2</v>
    <v>XNAS:GOOG</v>
    <v>2</v>
  </rv>
  <rv s="11">
    <v>37</v>
    <v>a1u3p2</v>
    <v>Daily</v>
    <v>45979</v>
    <v>45979</v>
    <v>0</v>
    <v>1</v>
    <v>638990208000000000,639070848013994767,0</v>
    <v>0</v>
    <v>a1u3p2</v>
    <v>XNAS:GOOG</v>
    <v>3</v>
  </rv>
  <rv s="11">
    <v>37</v>
    <v>a24kar</v>
    <v>Daily</v>
    <v>46038</v>
    <v>46038</v>
    <v>0</v>
    <v>1</v>
    <v>639041184000000000,639070844648044872,0</v>
    <v>0</v>
    <v>a24kar</v>
    <v>XNAS:TSLA</v>
    <v>4</v>
  </rv>
  <rv s="11">
    <v>37</v>
    <v>a24kar</v>
    <v>Daily</v>
    <v>45979</v>
    <v>45979</v>
    <v>0</v>
    <v>1</v>
    <v>638990208000000000,639070848012675213,0</v>
    <v>0</v>
    <v>a24kar</v>
    <v>XNAS:TSLA</v>
    <v>5</v>
  </rv>
  <rv s="11">
    <v>37</v>
    <v>a24kar</v>
    <v>Daily</v>
    <v>46065</v>
    <v>46065</v>
    <v>0</v>
    <v>1</v>
    <v>639064512000000000,639070848011375679,0</v>
    <v>0</v>
    <v>a24kar</v>
    <v>XNAS:TSLA</v>
    <v>6</v>
  </rv>
  <rv s="11">
    <v>38</v>
    <v>avyn9c</v>
    <v>Daily</v>
    <v>45979</v>
    <v>45979</v>
    <v>0</v>
    <v>1</v>
    <v>638990208000000000,639070848009474225,0</v>
    <v>0</v>
    <v>avyn9c</v>
    <v>USDEUR</v>
    <v>7</v>
  </rv>
  <rv s="11">
    <v>38</v>
    <v>avyn9c</v>
    <v>Daily</v>
    <v>45520</v>
    <v>45520</v>
    <v>0</v>
    <v>1</v>
    <v>638593632000000000,639070844570265080,0</v>
    <v>0</v>
    <v>avyn9c</v>
    <v>USDEUR</v>
    <v>8</v>
  </rv>
  <rv s="11">
    <v>38</v>
    <v>avyn9c</v>
    <v>Daily</v>
    <v>45706</v>
    <v>45706</v>
    <v>0</v>
    <v>1</v>
    <v>638754336000000000,639070850758885632,0</v>
    <v>0</v>
    <v>avyn9c</v>
    <v>USDEUR</v>
    <v>9</v>
  </rv>
  <rv s="11">
    <v>38</v>
    <v>avyn9c</v>
    <v>Daily</v>
    <v>46065</v>
    <v>46065</v>
    <v>0</v>
    <v>1</v>
    <v>639064512000000000,639070848012119562,0</v>
    <v>0</v>
    <v>avyn9c</v>
    <v>USDEUR</v>
    <v>10</v>
  </rv>
  <rv s="11">
    <v>38</v>
    <v>avyn9c</v>
    <v>Daily</v>
    <v>44974</v>
    <v>44974</v>
    <v>0</v>
    <v>1</v>
    <v>638121888000000000,639070844592324057,0</v>
    <v>0</v>
    <v>avyn9c</v>
    <v>USDEUR</v>
    <v>11</v>
  </rv>
  <rv s="11">
    <v>38</v>
    <v>avyn9c</v>
    <v>Daily</v>
    <v>46038</v>
    <v>46038</v>
    <v>0</v>
    <v>1</v>
    <v>639041184000000000,639070844597981701,0</v>
    <v>0</v>
    <v>avyn9c</v>
    <v>USDEUR</v>
    <v>12</v>
  </rv>
  <rv s="11">
    <v>38</v>
    <v>avyn9c</v>
    <v>Daily</v>
    <v>44610</v>
    <v>44610</v>
    <v>0</v>
    <v>1</v>
    <v>637807392000000000,639070848010250831,0</v>
    <v>0</v>
    <v>avyn9c</v>
    <v>USDEUR</v>
    <v>13</v>
  </rv>
  <rv s="11">
    <v>38</v>
    <v>avyn9c</v>
    <v>Daily</v>
    <v>45338</v>
    <v>45338</v>
    <v>0</v>
    <v>1</v>
    <v>638436384000000000,639070844645406946,0</v>
    <v>0</v>
    <v>avyn9c</v>
    <v>USDEUR</v>
    <v>14</v>
  </rv>
  <rv s="11">
    <v>39</v>
    <v>avym77</v>
    <v>Daily</v>
    <v>45520</v>
    <v>45520</v>
    <v>0</v>
    <v>1</v>
    <v>638593632000000000,639070844564405709,0</v>
    <v>0</v>
    <v>avym77</v>
    <v>USDCNY</v>
    <v>15</v>
  </rv>
  <rv s="11">
    <v>39</v>
    <v>avym77</v>
    <v>Daily</v>
    <v>45338</v>
    <v>45338</v>
    <v>0</v>
    <v>1</v>
    <v>638436384000000000,639070844574658946,0</v>
    <v>0</v>
    <v>avym77</v>
    <v>USDCNY</v>
    <v>16</v>
  </rv>
  <rv s="11">
    <v>39</v>
    <v>avym77</v>
    <v>Daily</v>
    <v>46038</v>
    <v>46038</v>
    <v>0</v>
    <v>1</v>
    <v>639041184000000000,639070844650972054,0</v>
    <v>0</v>
    <v>avym77</v>
    <v>USDCNY</v>
    <v>17</v>
  </rv>
  <rv s="11">
    <v>39</v>
    <v>avym77</v>
    <v>Daily</v>
    <v>44610</v>
    <v>44610</v>
    <v>0</v>
    <v>1</v>
    <v>637807392000000000,639070848013775469,0</v>
    <v>0</v>
    <v>avym77</v>
    <v>USDCNY</v>
    <v>18</v>
  </rv>
  <rv s="11">
    <v>39</v>
    <v>avym77</v>
    <v>Daily</v>
    <v>45979</v>
    <v>45979</v>
    <v>0</v>
    <v>1</v>
    <v>638990208000000000,639070848010017817,0</v>
    <v>0</v>
    <v>avym77</v>
    <v>USDCNY</v>
    <v>19</v>
  </rv>
  <rv s="11">
    <v>39</v>
    <v>avym77</v>
    <v>Daily</v>
    <v>45706</v>
    <v>45706</v>
    <v>0</v>
    <v>1</v>
    <v>638754336000000000,639070848013615270,0</v>
    <v>0</v>
    <v>avym77</v>
    <v>USDCNY</v>
    <v>20</v>
  </rv>
  <rv s="11">
    <v>39</v>
    <v>avym77</v>
    <v>Daily</v>
    <v>46065</v>
    <v>46065</v>
    <v>0</v>
    <v>1</v>
    <v>639064512000000000,639070848014382874,0</v>
    <v>0</v>
    <v>avym77</v>
    <v>USDCNY</v>
    <v>21</v>
  </rv>
  <rv s="11">
    <v>37</v>
    <v>cfzfpr</v>
    <v>Daily</v>
    <v>46038</v>
    <v>46038</v>
    <v>0</v>
    <v>1</v>
    <v>639041184000000000,639070847124972672,0</v>
    <v>0</v>
    <v>cfzfpr</v>
    <v>XNAS:GBUG</v>
    <v>22</v>
  </rv>
  <rv s="11">
    <v>37</v>
    <v>a1qlz2</v>
    <v>Daily</v>
    <v>45706</v>
    <v>45706</v>
    <v>0</v>
    <v>1</v>
    <v>638754336000000000,639070852303489543,0</v>
    <v>0</v>
    <v>a1qlz2</v>
    <v>XNYS:CVX</v>
    <v>23</v>
  </rv>
  <rv s="11">
    <v>37</v>
    <v>a1qlz2</v>
    <v>Daily</v>
    <v>45979</v>
    <v>45979</v>
    <v>0</v>
    <v>1</v>
    <v>638990208000000000,639070852303664538,0</v>
    <v>0</v>
    <v>a1qlz2</v>
    <v>XNYS:CVX</v>
    <v>24</v>
  </rv>
  <rv s="11">
    <v>37</v>
    <v>a1qlz2</v>
    <v>Daily</v>
    <v>46065</v>
    <v>46065</v>
    <v>0</v>
    <v>1</v>
    <v>639064512000000000,639070852303833780,0</v>
    <v>0</v>
    <v>a1qlz2</v>
    <v>XNYS:CVX</v>
    <v>25</v>
  </rv>
  <rv s="11">
    <v>37</v>
    <v>a1qlz2</v>
    <v>Daily</v>
    <v>46038</v>
    <v>46038</v>
    <v>0</v>
    <v>1</v>
    <v>639041184000000000,639070852303993095,0</v>
    <v>0</v>
    <v>a1qlz2</v>
    <v>XNYS:CVX</v>
    <v>26</v>
  </rv>
  <rv s="11">
    <v>37</v>
    <v>a1mou2</v>
    <v>Daily</v>
    <v>46038</v>
    <v>46038</v>
    <v>0</v>
    <v>1</v>
    <v>639041184000000000,639070844574962804,0</v>
    <v>0</v>
    <v>a1mou2</v>
    <v>XNAS:AAPL</v>
    <v>27</v>
  </rv>
  <rv s="11">
    <v>37</v>
    <v>a1mou2</v>
    <v>Daily</v>
    <v>46065</v>
    <v>46065</v>
    <v>0</v>
    <v>1</v>
    <v>639064512000000000,639070848008823365,0</v>
    <v>0</v>
    <v>a1mou2</v>
    <v>XNAS:AAPL</v>
    <v>28</v>
  </rv>
  <rv s="11">
    <v>37</v>
    <v>a1mou2</v>
    <v>Daily</v>
    <v>45706</v>
    <v>45706</v>
    <v>0</v>
    <v>1</v>
    <v>638754336000000000,639070848014129006,0</v>
    <v>0</v>
    <v>a1mou2</v>
    <v>XNAS:AAPL</v>
    <v>29</v>
  </rv>
  <rv s="11">
    <v>37</v>
    <v>a1mou2</v>
    <v>Daily</v>
    <v>45979</v>
    <v>45979</v>
    <v>0</v>
    <v>1</v>
    <v>638990208000000000,639070848009974938,0</v>
    <v>0</v>
    <v>a1mou2</v>
    <v>XNAS:AAPL</v>
    <v>30</v>
  </rv>
  <rv s="11">
    <v>40</v>
    <v>avytar</v>
    <v>Daily</v>
    <v>44610</v>
    <v>44610</v>
    <v>0</v>
    <v>1</v>
    <v>637807392000000000,639070848008932454,0</v>
    <v>0</v>
    <v>avytar</v>
    <v>USDTWD</v>
    <v>31</v>
  </rv>
  <rv s="11">
    <v>40</v>
    <v>avytar</v>
    <v>Daily</v>
    <v>45338</v>
    <v>45338</v>
    <v>0</v>
    <v>1</v>
    <v>638436384000000000,639070844579671834,0</v>
    <v>0</v>
    <v>avytar</v>
    <v>USDTWD</v>
    <v>32</v>
  </rv>
  <rv s="11">
    <v>40</v>
    <v>avytar</v>
    <v>Daily</v>
    <v>45706</v>
    <v>45706</v>
    <v>0</v>
    <v>1</v>
    <v>638754336000000000,639070848014716442,0</v>
    <v>0</v>
    <v>avytar</v>
    <v>USDTWD</v>
    <v>33</v>
  </rv>
  <rv s="11">
    <v>40</v>
    <v>avytar</v>
    <v>Daily</v>
    <v>44974</v>
    <v>44974</v>
    <v>0</v>
    <v>1</v>
    <v>638121888000000000,639070844643088707,0</v>
    <v>0</v>
    <v>avytar</v>
    <v>USDTWD</v>
    <v>34</v>
  </rv>
  <rv s="11">
    <v>40</v>
    <v>avytar</v>
    <v>Daily</v>
    <v>45979</v>
    <v>45979</v>
    <v>0</v>
    <v>1</v>
    <v>638990208000000000,639070848013185331,0</v>
    <v>0</v>
    <v>avytar</v>
    <v>USDTWD</v>
    <v>35</v>
  </rv>
  <rv s="11">
    <v>40</v>
    <v>avytar</v>
    <v>Daily</v>
    <v>45520</v>
    <v>45520</v>
    <v>0</v>
    <v>1</v>
    <v>638593632000000000,639070847661304743,0</v>
    <v>0</v>
    <v>avytar</v>
    <v>USDTWD</v>
    <v>36</v>
  </rv>
  <rv s="11">
    <v>40</v>
    <v>avytar</v>
    <v>Daily</v>
    <v>46065</v>
    <v>46065</v>
    <v>0</v>
    <v>1</v>
    <v>639064512000000000,639070848013931451,0</v>
    <v>0</v>
    <v>avytar</v>
    <v>USDTWD</v>
    <v>37</v>
  </rv>
  <rv s="11">
    <v>40</v>
    <v>avytar</v>
    <v>Daily</v>
    <v>46038</v>
    <v>46038</v>
    <v>0</v>
    <v>1</v>
    <v>639041184000000000,639070844648823485,0</v>
    <v>0</v>
    <v>avytar</v>
    <v>USDTWD</v>
    <v>38</v>
  </rv>
  <rv s="11">
    <v>41</v>
    <v>avyspr</v>
    <v>Daily</v>
    <v>45706</v>
    <v>45706</v>
    <v>0</v>
    <v>1</v>
    <v>638754336000000000,639070848009044119,0</v>
    <v>0</v>
    <v>avyspr</v>
    <v>USDSGD</v>
    <v>39</v>
  </rv>
  <rv s="11">
    <v>41</v>
    <v>avyspr</v>
    <v>Daily</v>
    <v>46038</v>
    <v>46038</v>
    <v>0</v>
    <v>1</v>
    <v>639041184000000000,639070844564842099,0</v>
    <v>0</v>
    <v>avyspr</v>
    <v>USDSGD</v>
    <v>40</v>
  </rv>
  <rv s="11">
    <v>41</v>
    <v>avyspr</v>
    <v>Daily</v>
    <v>44610</v>
    <v>44610</v>
    <v>0</v>
    <v>1</v>
    <v>637807392000000000,639070848013408948,0</v>
    <v>0</v>
    <v>avyspr</v>
    <v>USDSGD</v>
    <v>41</v>
  </rv>
  <rv s="11">
    <v>41</v>
    <v>avyspr</v>
    <v>Daily</v>
    <v>45979</v>
    <v>45979</v>
    <v>0</v>
    <v>1</v>
    <v>638990208000000000,639070850759026761,0</v>
    <v>0</v>
    <v>avyspr</v>
    <v>USDSGD</v>
    <v>42</v>
  </rv>
  <rv s="11">
    <v>41</v>
    <v>avyspr</v>
    <v>Daily</v>
    <v>45338</v>
    <v>45338</v>
    <v>0</v>
    <v>1</v>
    <v>638436384000000000,639070844586318913,0</v>
    <v>0</v>
    <v>avyspr</v>
    <v>USDSGD</v>
    <v>43</v>
  </rv>
  <rv s="11">
    <v>41</v>
    <v>avyspr</v>
    <v>Daily</v>
    <v>44974</v>
    <v>44974</v>
    <v>0</v>
    <v>1</v>
    <v>638121888000000000,639070844638704384,0</v>
    <v>0</v>
    <v>avyspr</v>
    <v>USDSGD</v>
    <v>44</v>
  </rv>
  <rv s="11">
    <v>41</v>
    <v>avyspr</v>
    <v>Daily</v>
    <v>46065</v>
    <v>46065</v>
    <v>0</v>
    <v>1</v>
    <v>639064512000000000,639070848012178674,0</v>
    <v>0</v>
    <v>avyspr</v>
    <v>USDSGD</v>
    <v>45</v>
  </rv>
  <rv s="11">
    <v>41</v>
    <v>avyspr</v>
    <v>Daily</v>
    <v>45520</v>
    <v>45520</v>
    <v>0</v>
    <v>1</v>
    <v>638593632000000000,639070844644349654,0</v>
    <v>0</v>
    <v>avyspr</v>
    <v>USDSGD</v>
    <v>46</v>
  </rv>
  <rv s="11">
    <v>37</v>
    <v>a24b5r</v>
    <v>Daily</v>
    <v>46038</v>
    <v>46038</v>
    <v>0</v>
    <v>1</v>
    <v>639041184000000000,639070847898465141,0</v>
    <v>0</v>
    <v>a24b5r</v>
    <v>XNAS:TLT</v>
    <v>47</v>
  </rv>
  <rv s="11">
    <v>42</v>
    <v>aaxdur</v>
    <v>Daily</v>
    <v>45706</v>
    <v>45706</v>
    <v>0</v>
    <v>1</v>
    <v>638754336000000000,639070851142033246,0</v>
    <v>0</v>
    <v>aaxdur</v>
    <v>XTSE:CCO</v>
    <v>48</v>
  </rv>
  <rv s="11">
    <v>42</v>
    <v>aaxdur</v>
    <v>Daily</v>
    <v>46065</v>
    <v>46065</v>
    <v>0</v>
    <v>1</v>
    <v>639064512000000000,639070851142518768,0</v>
    <v>0</v>
    <v>aaxdur</v>
    <v>XTSE:CCO</v>
    <v>49</v>
  </rv>
  <rv s="11">
    <v>42</v>
    <v>aaxdur</v>
    <v>Daily</v>
    <v>45979</v>
    <v>45979</v>
    <v>0</v>
    <v>1</v>
    <v>638990208000000000,639070851142993466,0</v>
    <v>0</v>
    <v>aaxdur</v>
    <v>XTSE:CCO</v>
    <v>50</v>
  </rv>
  <rv s="11">
    <v>42</v>
    <v>aaxdur</v>
    <v>Daily</v>
    <v>46038</v>
    <v>46038</v>
    <v>0</v>
    <v>1</v>
    <v>639041184000000000,639070851143463580,0</v>
    <v>0</v>
    <v>aaxdur</v>
    <v>XTSE:CCO</v>
    <v>51</v>
  </rv>
  <rv s="11">
    <v>37</v>
    <v>a1yv52</v>
    <v>Daily</v>
    <v>46038</v>
    <v>46038</v>
    <v>0</v>
    <v>1</v>
    <v>639041184000000000,639070844586466077,0</v>
    <v>0</v>
    <v>a1yv52</v>
    <v>XNAS:NVDA</v>
    <v>52</v>
  </rv>
  <rv s="11">
    <v>37</v>
    <v>a1yv52</v>
    <v>Daily</v>
    <v>45706</v>
    <v>45706</v>
    <v>0</v>
    <v>1</v>
    <v>638754336000000000,639070848010799048,0</v>
    <v>0</v>
    <v>a1yv52</v>
    <v>XNAS:NVDA</v>
    <v>53</v>
  </rv>
  <rv s="11">
    <v>37</v>
    <v>a1yv52</v>
    <v>Daily</v>
    <v>46065</v>
    <v>46065</v>
    <v>0</v>
    <v>1</v>
    <v>639064512000000000,639070848012810262,0</v>
    <v>0</v>
    <v>a1yv52</v>
    <v>XNAS:NVDA</v>
    <v>54</v>
  </rv>
  <rv s="11">
    <v>37</v>
    <v>a1yv52</v>
    <v>Daily</v>
    <v>45979</v>
    <v>45979</v>
    <v>0</v>
    <v>1</v>
    <v>638990208000000000,639070848014862293,0</v>
    <v>0</v>
    <v>a1yv52</v>
    <v>XNAS:NVDA</v>
    <v>55</v>
  </rv>
  <rv s="11">
    <v>43</v>
    <v>avyo8m</v>
    <v>Daily</v>
    <v>45979</v>
    <v>45979</v>
    <v>0</v>
    <v>1</v>
    <v>638990208000000000,639070848013048871,0</v>
    <v>0</v>
    <v>avyo8m</v>
    <v>USDINR</v>
    <v>56</v>
  </rv>
  <rv s="11">
    <v>43</v>
    <v>avyo8m</v>
    <v>Daily</v>
    <v>45706</v>
    <v>45706</v>
    <v>0</v>
    <v>1</v>
    <v>638754336000000000,639070850758604687,0</v>
    <v>0</v>
    <v>avyo8m</v>
    <v>USDINR</v>
    <v>57</v>
  </rv>
  <rv s="11">
    <v>43</v>
    <v>avyo8m</v>
    <v>Daily</v>
    <v>45338</v>
    <v>45338</v>
    <v>0</v>
    <v>1</v>
    <v>638436384000000000,639070844636504247,0</v>
    <v>0</v>
    <v>avyo8m</v>
    <v>USDINR</v>
    <v>58</v>
  </rv>
  <rv s="11">
    <v>43</v>
    <v>avyo8m</v>
    <v>Daily</v>
    <v>46065</v>
    <v>46065</v>
    <v>0</v>
    <v>1</v>
    <v>639064512000000000,639070848010710422,0</v>
    <v>0</v>
    <v>avyo8m</v>
    <v>USDINR</v>
    <v>59</v>
  </rv>
  <rv s="11">
    <v>43</v>
    <v>avyo8m</v>
    <v>Daily</v>
    <v>46038</v>
    <v>46038</v>
    <v>0</v>
    <v>1</v>
    <v>639041184000000000,639070844637767264,0</v>
    <v>0</v>
    <v>avyo8m</v>
    <v>USDINR</v>
    <v>60</v>
  </rv>
  <rv s="11">
    <v>43</v>
    <v>avyo8m</v>
    <v>Daily</v>
    <v>44610</v>
    <v>44610</v>
    <v>0</v>
    <v>1</v>
    <v>637807392000000000,639070848011704532,0</v>
    <v>0</v>
    <v>avyo8m</v>
    <v>USDINR</v>
    <v>61</v>
  </rv>
  <rv s="11">
    <v>43</v>
    <v>avyo8m</v>
    <v>Daily</v>
    <v>44974</v>
    <v>44974</v>
    <v>0</v>
    <v>1</v>
    <v>638121888000000000,639070844651979757,0</v>
    <v>0</v>
    <v>avyo8m</v>
    <v>USDINR</v>
    <v>62</v>
  </rv>
  <rv s="11">
    <v>43</v>
    <v>avyo8m</v>
    <v>Daily</v>
    <v>45520</v>
    <v>45520</v>
    <v>0</v>
    <v>1</v>
    <v>638593632000000000,639070844655070656,0</v>
    <v>0</v>
    <v>avyo8m</v>
    <v>USDINR</v>
    <v>63</v>
  </rv>
  <rv s="11">
    <v>37</v>
    <v>ce8mrw</v>
    <v>Daily</v>
    <v>46038</v>
    <v>46038</v>
    <v>0</v>
    <v>1</v>
    <v>639041184000000000,639070846790730532,0</v>
    <v>0</v>
    <v>ce8mrw</v>
    <v>XNAS:ETHA</v>
    <v>64</v>
  </rv>
  <rv s="11">
    <v>37</v>
    <v>ce8mrw</v>
    <v>Daily</v>
    <v>45979</v>
    <v>45979</v>
    <v>0</v>
    <v>1</v>
    <v>638990208000000000,639070848011745765,0</v>
    <v>0</v>
    <v>ce8mrw</v>
    <v>XNAS:ETHA</v>
    <v>65</v>
  </rv>
  <rv s="11">
    <v>37</v>
    <v>ce8mrw</v>
    <v>Daily</v>
    <v>45706</v>
    <v>45706</v>
    <v>0</v>
    <v>1</v>
    <v>638754336000000000,639070848012855255,0</v>
    <v>0</v>
    <v>ce8mrw</v>
    <v>XNAS:ETHA</v>
    <v>66</v>
  </rv>
  <rv s="11">
    <v>37</v>
    <v>ce8mrw</v>
    <v>Daily</v>
    <v>46065</v>
    <v>46065</v>
    <v>0</v>
    <v>1</v>
    <v>639064512000000000,639070848010117365,0</v>
    <v>0</v>
    <v>ce8mrw</v>
    <v>XNAS:ETHA</v>
    <v>67</v>
  </rv>
  <rv s="11">
    <v>37</v>
    <v>a269ec</v>
    <v>Daily</v>
    <v>45706</v>
    <v>45706</v>
    <v>0</v>
    <v>1</v>
    <v>638754336000000000,639070851851202236,0</v>
    <v>0</v>
    <v>a269ec</v>
    <v>XNYS:XOM</v>
    <v>68</v>
  </rv>
  <rv s="11">
    <v>37</v>
    <v>a269ec</v>
    <v>Daily</v>
    <v>45979</v>
    <v>45979</v>
    <v>0</v>
    <v>1</v>
    <v>638990208000000000,639070851851451128,0</v>
    <v>0</v>
    <v>a269ec</v>
    <v>XNYS:XOM</v>
    <v>69</v>
  </rv>
  <rv s="11">
    <v>37</v>
    <v>a269ec</v>
    <v>Daily</v>
    <v>46065</v>
    <v>46065</v>
    <v>0</v>
    <v>1</v>
    <v>639064512000000000,639070851851690078,0</v>
    <v>0</v>
    <v>a269ec</v>
    <v>XNYS:XOM</v>
    <v>70</v>
  </rv>
  <rv s="11">
    <v>37</v>
    <v>a269ec</v>
    <v>Daily</v>
    <v>46038</v>
    <v>46038</v>
    <v>0</v>
    <v>1</v>
    <v>639041184000000000,639070851851919073,0</v>
    <v>0</v>
    <v>a269ec</v>
    <v>XNYS:XOM</v>
    <v>71</v>
  </rv>
  <rv s="11">
    <v>44</v>
    <v>avyomw</v>
    <v>Daily</v>
    <v>45520</v>
    <v>45520</v>
    <v>0</v>
    <v>1</v>
    <v>638593632000000000,639070844583760213,0</v>
    <v>0</v>
    <v>avyomw</v>
    <v>USDJPY</v>
    <v>72</v>
  </rv>
  <rv s="11">
    <v>44</v>
    <v>avyomw</v>
    <v>Daily</v>
    <v>46038</v>
    <v>46038</v>
    <v>0</v>
    <v>1</v>
    <v>639041184000000000,639070844586834135,0</v>
    <v>0</v>
    <v>avyomw</v>
    <v>USDJPY</v>
    <v>73</v>
  </rv>
  <rv s="11">
    <v>44</v>
    <v>avyomw</v>
    <v>Daily</v>
    <v>45338</v>
    <v>45338</v>
    <v>0</v>
    <v>1</v>
    <v>638436384000000000,639070844591812265,0</v>
    <v>0</v>
    <v>avyomw</v>
    <v>USDJPY</v>
    <v>74</v>
  </rv>
  <rv s="11">
    <v>44</v>
    <v>avyomw</v>
    <v>Daily</v>
    <v>45706</v>
    <v>45706</v>
    <v>0</v>
    <v>1</v>
    <v>638754336000000000,639070848010600876,0</v>
    <v>0</v>
    <v>avyomw</v>
    <v>USDJPY</v>
    <v>75</v>
  </rv>
  <rv s="11">
    <v>44</v>
    <v>avyomw</v>
    <v>Daily</v>
    <v>44610</v>
    <v>44610</v>
    <v>0</v>
    <v>1</v>
    <v>637807392000000000,639070848014690109,0</v>
    <v>0</v>
    <v>avyomw</v>
    <v>USDJPY</v>
    <v>76</v>
  </rv>
  <rv s="11">
    <v>44</v>
    <v>avyomw</v>
    <v>Daily</v>
    <v>45979</v>
    <v>45979</v>
    <v>0</v>
    <v>1</v>
    <v>638990208000000000,639070850759307145,0</v>
    <v>0</v>
    <v>avyomw</v>
    <v>USDJPY</v>
    <v>77</v>
  </rv>
  <rv s="11">
    <v>44</v>
    <v>avyomw</v>
    <v>Daily</v>
    <v>46065</v>
    <v>46065</v>
    <v>0</v>
    <v>1</v>
    <v>639064512000000000,639070850759592522,0</v>
    <v>0</v>
    <v>avyomw</v>
    <v>USDJPY</v>
    <v>78</v>
  </rv>
  <rv s="11">
    <v>44</v>
    <v>avyomw</v>
    <v>Daily</v>
    <v>44974</v>
    <v>44974</v>
    <v>0</v>
    <v>1</v>
    <v>638121888000000000,639070844653155774,0</v>
    <v>0</v>
    <v>avyomw</v>
    <v>USDJPY</v>
    <v>79</v>
  </rv>
  <rv s="11">
    <v>37</v>
    <v>a23hqh</v>
    <v>Daily</v>
    <v>45706</v>
    <v>45706</v>
    <v>0</v>
    <v>1</v>
    <v>638754336000000000,639070853871461444,0</v>
    <v>0</v>
    <v>a23hqh</v>
    <v>ARCX:SPY</v>
    <v>80</v>
  </rv>
  <rv s="11">
    <v>37</v>
    <v>a23hqh</v>
    <v>Daily</v>
    <v>46065</v>
    <v>46065</v>
    <v>0</v>
    <v>1</v>
    <v>639064512000000000,639070848012661942,0</v>
    <v>0</v>
    <v>a23hqh</v>
    <v>ARCX:SPY</v>
    <v>81</v>
  </rv>
  <rv s="11">
    <v>37</v>
    <v>a23hqh</v>
    <v>Daily</v>
    <v>45979</v>
    <v>45979</v>
    <v>0</v>
    <v>1</v>
    <v>638990208000000000,639070853871941697,0</v>
    <v>0</v>
    <v>a23hqh</v>
    <v>ARCX:SPY</v>
    <v>82</v>
  </rv>
  <rv s="11">
    <v>37</v>
    <v>a23hqh</v>
    <v>Daily</v>
    <v>46038</v>
    <v>46038</v>
    <v>0</v>
    <v>1</v>
    <v>639041184000000000,639070844633827978,0</v>
    <v>0</v>
    <v>a23hqh</v>
    <v>ARCX:SPY</v>
    <v>83</v>
  </rv>
  <rv s="11">
    <v>37</v>
    <v>auvwu2</v>
    <v>Daily</v>
    <v>45706</v>
    <v>45706</v>
    <v>0</v>
    <v>1</v>
    <v>638754336000000000,639070848011191607,0</v>
    <v>0</v>
    <v>auvwu2</v>
    <v>Platinum</v>
    <v>84</v>
  </rv>
  <rv s="11">
    <v>37</v>
    <v>auvwu2</v>
    <v>Daily</v>
    <v>44974</v>
    <v>44974</v>
    <v>0</v>
    <v>1</v>
    <v>638121888000000000,639070844581873234,0</v>
    <v>0</v>
    <v>auvwu2</v>
    <v>Platinum</v>
    <v>85</v>
  </rv>
  <rv s="11">
    <v>37</v>
    <v>auvwu2</v>
    <v>Daily</v>
    <v>46038</v>
    <v>46038</v>
    <v>0</v>
    <v>1</v>
    <v>639041184000000000,639070844631352319,0</v>
    <v>0</v>
    <v>auvwu2</v>
    <v>Platinum</v>
    <v>86</v>
  </rv>
  <rv s="11">
    <v>37</v>
    <v>auvwu2</v>
    <v>Daily</v>
    <v>46065</v>
    <v>46065</v>
    <v>0</v>
    <v>1</v>
    <v>639064512000000000,639070848010005442,0</v>
    <v>0</v>
    <v>auvwu2</v>
    <v>Platinum</v>
    <v>87</v>
  </rv>
  <rv s="11">
    <v>37</v>
    <v>auvwu2</v>
    <v>Daily</v>
    <v>44610</v>
    <v>44610</v>
    <v>0</v>
    <v>1</v>
    <v>637807392000000000,639070848010053897,0</v>
    <v>0</v>
    <v>auvwu2</v>
    <v>Platinum</v>
    <v>88</v>
  </rv>
  <rv s="11">
    <v>37</v>
    <v>auvwu2</v>
    <v>Daily</v>
    <v>45338</v>
    <v>45338</v>
    <v>0</v>
    <v>1</v>
    <v>638436384000000000,639070844596414752,0</v>
    <v>0</v>
    <v>auvwu2</v>
    <v>Platinum</v>
    <v>89</v>
  </rv>
  <rv s="11">
    <v>37</v>
    <v>auvwu2</v>
    <v>Daily</v>
    <v>45520</v>
    <v>45520</v>
    <v>0</v>
    <v>1</v>
    <v>638593632000000000,639070844635762331,0</v>
    <v>0</v>
    <v>auvwu2</v>
    <v>Platinum</v>
    <v>90</v>
  </rv>
  <rv s="11">
    <v>37</v>
    <v>auvwu2</v>
    <v>Daily</v>
    <v>45979</v>
    <v>45979</v>
    <v>0</v>
    <v>1</v>
    <v>638990208000000000,639070848014746022,0</v>
    <v>0</v>
    <v>auvwu2</v>
    <v>Platinum</v>
    <v>91</v>
  </rv>
  <rv s="11">
    <v>37</v>
    <v>brjcfr</v>
    <v>Daily</v>
    <v>44974</v>
    <v>44974</v>
    <v>0</v>
    <v>1</v>
    <v>638121888000000000,639070844623140624,0</v>
    <v>0</v>
    <v>brjcfr</v>
    <v>ETHUSD</v>
    <v>92</v>
  </rv>
  <rv s="11">
    <v>37</v>
    <v>brjcfr</v>
    <v>Daily</v>
    <v>46038</v>
    <v>46038</v>
    <v>0</v>
    <v>1</v>
    <v>639041184000000000,639070844566945594,0</v>
    <v>0</v>
    <v>brjcfr</v>
    <v>ETHUSD</v>
    <v>93</v>
  </rv>
  <rv s="11">
    <v>37</v>
    <v>brjcfr</v>
    <v>Daily</v>
    <v>45706</v>
    <v>45706</v>
    <v>0</v>
    <v>1</v>
    <v>638754336000000000,639070848011939523,0</v>
    <v>0</v>
    <v>brjcfr</v>
    <v>ETHUSD</v>
    <v>94</v>
  </rv>
  <rv s="11">
    <v>37</v>
    <v>brjcfr</v>
    <v>Daily</v>
    <v>46065</v>
    <v>46065</v>
    <v>0</v>
    <v>1</v>
    <v>639064512000000000,639070850758749818,0</v>
    <v>0</v>
    <v>brjcfr</v>
    <v>ETHUSD</v>
    <v>95</v>
  </rv>
  <rv s="11">
    <v>37</v>
    <v>brjcfr</v>
    <v>Daily</v>
    <v>45338</v>
    <v>45338</v>
    <v>0</v>
    <v>1</v>
    <v>638436384000000000,639070844594916717,0</v>
    <v>0</v>
    <v>brjcfr</v>
    <v>ETHUSD</v>
    <v>96</v>
  </rv>
  <rv s="11">
    <v>37</v>
    <v>brjcfr</v>
    <v>Daily</v>
    <v>45520</v>
    <v>45520</v>
    <v>0</v>
    <v>1</v>
    <v>638593632000000000,639070844643184579,0</v>
    <v>0</v>
    <v>brjcfr</v>
    <v>ETHUSD</v>
    <v>97</v>
  </rv>
  <rv s="11">
    <v>37</v>
    <v>brjcfr</v>
    <v>Daily</v>
    <v>45979</v>
    <v>45979</v>
    <v>0</v>
    <v>1</v>
    <v>638990208000000000,639070848014945984,0</v>
    <v>0</v>
    <v>brjcfr</v>
    <v>ETHUSD</v>
    <v>98</v>
  </rv>
  <rv s="11">
    <v>37</v>
    <v>brjcfr</v>
    <v>Daily</v>
    <v>44610</v>
    <v>44610</v>
    <v>0</v>
    <v>1</v>
    <v>637807392000000000,639070848015131210,0</v>
    <v>0</v>
    <v>brjcfr</v>
    <v>ETHUSD</v>
    <v>99</v>
  </rv>
  <rv s="11">
    <v>42</v>
    <v>avylur</v>
    <v>Daily</v>
    <v>45706</v>
    <v>45706</v>
    <v>0</v>
    <v>1</v>
    <v>638754336000000000,639070848009802795,0</v>
    <v>0</v>
    <v>avylur</v>
    <v>USDCAD</v>
    <v>100</v>
  </rv>
  <rv s="11">
    <v>42</v>
    <v>avylur</v>
    <v>Daily</v>
    <v>46065</v>
    <v>46065</v>
    <v>0</v>
    <v>1</v>
    <v>639064512000000000,639070848013229799,0</v>
    <v>0</v>
    <v>avylur</v>
    <v>USDCAD</v>
    <v>101</v>
  </rv>
  <rv s="11">
    <v>42</v>
    <v>avylur</v>
    <v>Daily</v>
    <v>45520</v>
    <v>45520</v>
    <v>0</v>
    <v>1</v>
    <v>638593632000000000,639070844582303979,0</v>
    <v>0</v>
    <v>avylur</v>
    <v>USDCAD</v>
    <v>102</v>
  </rv>
  <rv s="11">
    <v>42</v>
    <v>avylur</v>
    <v>Daily</v>
    <v>44974</v>
    <v>44974</v>
    <v>0</v>
    <v>1</v>
    <v>638121888000000000,639070844590938699,0</v>
    <v>0</v>
    <v>avylur</v>
    <v>USDCAD</v>
    <v>103</v>
  </rv>
  <rv s="11">
    <v>42</v>
    <v>avylur</v>
    <v>Daily</v>
    <v>44610</v>
    <v>44610</v>
    <v>0</v>
    <v>1</v>
    <v>637807392000000000,639070848010501311,0</v>
    <v>0</v>
    <v>avylur</v>
    <v>USDCAD</v>
    <v>104</v>
  </rv>
  <rv s="11">
    <v>42</v>
    <v>avylur</v>
    <v>Daily</v>
    <v>45338</v>
    <v>45338</v>
    <v>0</v>
    <v>1</v>
    <v>638436384000000000,639070844642916682,0</v>
    <v>0</v>
    <v>avylur</v>
    <v>USDCAD</v>
    <v>105</v>
  </rv>
  <rv s="11">
    <v>42</v>
    <v>avylur</v>
    <v>Daily</v>
    <v>45979</v>
    <v>45979</v>
    <v>0</v>
    <v>1</v>
    <v>638990208000000000,639070848015067000,0</v>
    <v>0</v>
    <v>avylur</v>
    <v>USDCAD</v>
    <v>106</v>
  </rv>
  <rv s="11">
    <v>42</v>
    <v>avylur</v>
    <v>Daily</v>
    <v>46038</v>
    <v>46038</v>
    <v>0</v>
    <v>1</v>
    <v>639041184000000000,639070844645136020,0</v>
    <v>0</v>
    <v>avylur</v>
    <v>USDCAD</v>
    <v>107</v>
  </rv>
  <rv s="11">
    <v>37</v>
    <v>cc5pdm</v>
    <v>Daily</v>
    <v>46038</v>
    <v>46038</v>
    <v>0</v>
    <v>1</v>
    <v>639041184000000000,639070846725906122,0</v>
    <v>0</v>
    <v>cc5pdm</v>
    <v>XNAS:IBIT</v>
    <v>108</v>
  </rv>
  <rv s="11">
    <v>37</v>
    <v>cc5pdm</v>
    <v>Daily</v>
    <v>46065</v>
    <v>46065</v>
    <v>0</v>
    <v>1</v>
    <v>639064512000000000,639070848014319728,0</v>
    <v>0</v>
    <v>cc5pdm</v>
    <v>XNAS:IBIT</v>
    <v>109</v>
  </rv>
  <rv s="11">
    <v>37</v>
    <v>cc5pdm</v>
    <v>Daily</v>
    <v>45706</v>
    <v>45706</v>
    <v>0</v>
    <v>1</v>
    <v>638754336000000000,639070848014198711,0</v>
    <v>0</v>
    <v>cc5pdm</v>
    <v>XNAS:IBIT</v>
    <v>110</v>
  </rv>
  <rv s="11">
    <v>37</v>
    <v>a1zfec</v>
    <v>Daily</v>
    <v>46038</v>
    <v>46038</v>
    <v>0</v>
    <v>1</v>
    <v>639041184000000000,639070844635541744,0</v>
    <v>0</v>
    <v>a1zfec</v>
    <v>XNYS:PAAS</v>
    <v>111</v>
  </rv>
  <rv s="11">
    <v>37</v>
    <v>a1zfec</v>
    <v>Daily</v>
    <v>46065</v>
    <v>46065</v>
    <v>0</v>
    <v>1</v>
    <v>639064512000000000,639070848014859867,0</v>
    <v>0</v>
    <v>a1zfec</v>
    <v>XNYS:PAAS</v>
    <v>112</v>
  </rv>
  <rv s="11">
    <v>37</v>
    <v>auvx6h</v>
    <v>Daily</v>
    <v>45979</v>
    <v>45979</v>
    <v>0</v>
    <v>1</v>
    <v>638990208000000000,639070848013600451,0</v>
    <v>0</v>
    <v>auvx6h</v>
    <v>Natural Gas</v>
    <v>113</v>
  </rv>
  <rv s="11">
    <v>37</v>
    <v>auvx6h</v>
    <v>Daily</v>
    <v>44610</v>
    <v>44610</v>
    <v>0</v>
    <v>1</v>
    <v>637807392000000000,639070848013977362,0</v>
    <v>0</v>
    <v>auvx6h</v>
    <v>Natural Gas</v>
    <v>114</v>
  </rv>
  <rv s="11">
    <v>37</v>
    <v>auvx6h</v>
    <v>Daily</v>
    <v>44974</v>
    <v>44974</v>
    <v>0</v>
    <v>1</v>
    <v>638121888000000000,639070844631607998,0</v>
    <v>0</v>
    <v>auvx6h</v>
    <v>Natural Gas</v>
    <v>115</v>
  </rv>
  <rv s="11">
    <v>37</v>
    <v>auvx6h</v>
    <v>Daily</v>
    <v>45706</v>
    <v>45706</v>
    <v>0</v>
    <v>1</v>
    <v>638754336000000000,639070850759168842,0</v>
    <v>0</v>
    <v>auvx6h</v>
    <v>Natural Gas</v>
    <v>116</v>
  </rv>
  <rv s="11">
    <v>37</v>
    <v>auvx6h</v>
    <v>Daily</v>
    <v>46038</v>
    <v>46038</v>
    <v>0</v>
    <v>1</v>
    <v>639041184000000000,639070844597605580,0</v>
    <v>0</v>
    <v>auvx6h</v>
    <v>Natural Gas</v>
    <v>117</v>
  </rv>
  <rv s="11">
    <v>37</v>
    <v>auvx6h</v>
    <v>Daily</v>
    <v>45338</v>
    <v>45338</v>
    <v>0</v>
    <v>1</v>
    <v>638436384000000000,639070844638424289,0</v>
    <v>0</v>
    <v>auvx6h</v>
    <v>Natural Gas</v>
    <v>118</v>
  </rv>
  <rv s="11">
    <v>37</v>
    <v>auvx6h</v>
    <v>Daily</v>
    <v>46065</v>
    <v>46065</v>
    <v>0</v>
    <v>1</v>
    <v>639064512000000000,639070848015547720,0</v>
    <v>0</v>
    <v>auvx6h</v>
    <v>Natural Gas</v>
    <v>119</v>
  </rv>
  <rv s="11">
    <v>37</v>
    <v>auvx6h</v>
    <v>Daily</v>
    <v>45520</v>
    <v>45520</v>
    <v>0</v>
    <v>1</v>
    <v>638593632000000000,639070844649280492,0</v>
    <v>0</v>
    <v>auvx6h</v>
    <v>Natural Gas</v>
    <v>120</v>
  </rv>
  <rv s="11">
    <v>45</v>
    <v>avytp2</v>
    <v>Daily</v>
    <v>45706</v>
    <v>45706</v>
    <v>0</v>
    <v>1</v>
    <v>638754336000000000,639070848012307736,0</v>
    <v>0</v>
    <v>avytp2</v>
    <v>USDTRY</v>
    <v>121</v>
  </rv>
  <rv s="11">
    <v>45</v>
    <v>avytp2</v>
    <v>Daily</v>
    <v>45520</v>
    <v>45520</v>
    <v>0</v>
    <v>1</v>
    <v>638593632000000000,639070844576580403,0</v>
    <v>0</v>
    <v>avytp2</v>
    <v>USDTRY</v>
    <v>122</v>
  </rv>
  <rv s="11">
    <v>45</v>
    <v>avytp2</v>
    <v>Daily</v>
    <v>46038</v>
    <v>46038</v>
    <v>0</v>
    <v>1</v>
    <v>639041184000000000,639070844587016918,0</v>
    <v>0</v>
    <v>avytp2</v>
    <v>USDTRY</v>
    <v>123</v>
  </rv>
  <rv s="11">
    <v>45</v>
    <v>avytp2</v>
    <v>Daily</v>
    <v>45979</v>
    <v>45979</v>
    <v>0</v>
    <v>1</v>
    <v>638990208000000000,639070848014109024,0</v>
    <v>0</v>
    <v>avytp2</v>
    <v>USDTRY</v>
    <v>124</v>
  </rv>
  <rv s="11">
    <v>45</v>
    <v>avytp2</v>
    <v>Daily</v>
    <v>45338</v>
    <v>45338</v>
    <v>0</v>
    <v>1</v>
    <v>638436384000000000,639070847661269575,0</v>
    <v>0</v>
    <v>avytp2</v>
    <v>USDTRY</v>
    <v>125</v>
  </rv>
  <rv s="11">
    <v>45</v>
    <v>avytp2</v>
    <v>Daily</v>
    <v>46065</v>
    <v>46065</v>
    <v>0</v>
    <v>1</v>
    <v>639064512000000000,639070850759454533,0</v>
    <v>0</v>
    <v>avytp2</v>
    <v>USDTRY</v>
    <v>126</v>
  </rv>
  <rv s="11">
    <v>45</v>
    <v>avytp2</v>
    <v>Daily</v>
    <v>44610</v>
    <v>44610</v>
    <v>0</v>
    <v>1</v>
    <v>637807392000000000,639070850759196162,0</v>
    <v>0</v>
    <v>avytp2</v>
    <v>USDTRY</v>
    <v>127</v>
  </rv>
  <rv s="11">
    <v>45</v>
    <v>avytp2</v>
    <v>Daily</v>
    <v>44974</v>
    <v>44974</v>
    <v>0</v>
    <v>1</v>
    <v>638121888000000000,639070844649043738,0</v>
    <v>0</v>
    <v>avytp2</v>
    <v>USDTRY</v>
    <v>128</v>
  </rv>
  <rv s="11">
    <v>37</v>
    <v>bo8l6h</v>
    <v>Daily</v>
    <v>44974</v>
    <v>44974</v>
    <v>0</v>
    <v>1</v>
    <v>638121888000000000,639070847661182169,0</v>
    <v>0</v>
    <v>bo8l6h</v>
    <v>BTCUSD</v>
    <v>129</v>
  </rv>
  <rv s="11">
    <v>37</v>
    <v>bo8l6h</v>
    <v>Daily</v>
    <v>44610</v>
    <v>44610</v>
    <v>0</v>
    <v>1</v>
    <v>637807392000000000,639070848011749726,0</v>
    <v>0</v>
    <v>bo8l6h</v>
    <v>BTCUSD</v>
    <v>130</v>
  </rv>
  <rv s="11">
    <v>37</v>
    <v>bo8l6h</v>
    <v>Daily</v>
    <v>46065</v>
    <v>46065</v>
    <v>0</v>
    <v>1</v>
    <v>639064512000000000,639070848012139167,0</v>
    <v>0</v>
    <v>bo8l6h</v>
    <v>BTCUSD</v>
    <v>131</v>
  </rv>
  <rv s="11">
    <v>37</v>
    <v>bo8l6h</v>
    <v>Daily</v>
    <v>45338</v>
    <v>45338</v>
    <v>0</v>
    <v>1</v>
    <v>638436384000000000,639070844578813331,0</v>
    <v>0</v>
    <v>bo8l6h</v>
    <v>BTCUSD</v>
    <v>132</v>
  </rv>
  <rv s="11">
    <v>37</v>
    <v>bo8l6h</v>
    <v>Daily</v>
    <v>46038</v>
    <v>46038</v>
    <v>0</v>
    <v>1</v>
    <v>639041184000000000,639070844575779536,0</v>
    <v>0</v>
    <v>bo8l6h</v>
    <v>BTCUSD</v>
    <v>133</v>
  </rv>
  <rv s="11">
    <v>37</v>
    <v>bo8l6h</v>
    <v>Daily</v>
    <v>45520</v>
    <v>45520</v>
    <v>0</v>
    <v>1</v>
    <v>638593632000000000,639070844646860045,0</v>
    <v>0</v>
    <v>bo8l6h</v>
    <v>BTCUSD</v>
    <v>134</v>
  </rv>
  <rv s="11">
    <v>37</v>
    <v>bo8l6h</v>
    <v>Daily</v>
    <v>45979</v>
    <v>45979</v>
    <v>0</v>
    <v>1</v>
    <v>638990208000000000,639070850759726859,0</v>
    <v>0</v>
    <v>bo8l6h</v>
    <v>BTCUSD</v>
    <v>135</v>
  </rv>
  <rv s="11">
    <v>37</v>
    <v>bo8l6h</v>
    <v>Daily</v>
    <v>45706</v>
    <v>45706</v>
    <v>0</v>
    <v>1</v>
    <v>638754336000000000,639070848015305259,0</v>
    <v>0</v>
    <v>bo8l6h</v>
    <v>BTCUSD</v>
    <v>136</v>
  </rv>
  <rv s="11">
    <v>37</v>
    <v>a1ndww</v>
    <v>Daily</v>
    <v>46038</v>
    <v>46038</v>
    <v>0</v>
    <v>1</v>
    <v>639041184000000000,639070844591442499,0</v>
    <v>0</v>
    <v>a1ndww</v>
    <v>XNAS:AMD</v>
    <v>137</v>
  </rv>
  <rv s="11">
    <v>37</v>
    <v>a1ndww</v>
    <v>Daily</v>
    <v>45706</v>
    <v>45706</v>
    <v>0</v>
    <v>1</v>
    <v>638754336000000000,639070848009693269,0</v>
    <v>0</v>
    <v>a1ndww</v>
    <v>XNAS:AMD</v>
    <v>138</v>
  </rv>
  <rv s="11">
    <v>37</v>
    <v>a1ndww</v>
    <v>Daily</v>
    <v>45979</v>
    <v>45979</v>
    <v>0</v>
    <v>1</v>
    <v>638990208000000000,639070848010929434,0</v>
    <v>0</v>
    <v>a1ndww</v>
    <v>XNAS:AMD</v>
    <v>139</v>
  </rv>
  <rv s="11">
    <v>37</v>
    <v>a1ndww</v>
    <v>Daily</v>
    <v>46065</v>
    <v>46065</v>
    <v>0</v>
    <v>1</v>
    <v>639064512000000000,639070848015807157,0</v>
    <v>0</v>
    <v>a1ndww</v>
    <v>XNAS:AMD</v>
    <v>140</v>
  </rv>
  <rv s="11">
    <v>37</v>
    <v>a21mim</v>
    <v>Daily</v>
    <v>46038</v>
    <v>46038</v>
    <v>0</v>
    <v>1</v>
    <v>639041184000000000,639070844598129607,0</v>
    <v>0</v>
    <v>a21mim</v>
    <v>XNAS:QQQ</v>
    <v>141</v>
  </rv>
  <rv s="11">
    <v>37</v>
    <v>a21mim</v>
    <v>Daily</v>
    <v>46065</v>
    <v>46065</v>
    <v>0</v>
    <v>1</v>
    <v>639064512000000000,639070848012488606,0</v>
    <v>0</v>
    <v>a21mim</v>
    <v>XNAS:QQQ</v>
    <v>142</v>
  </rv>
  <rv s="11">
    <v>37</v>
    <v>a21mim</v>
    <v>Daily</v>
    <v>45979</v>
    <v>45979</v>
    <v>0</v>
    <v>1</v>
    <v>638990208000000000,639070848010389588,0</v>
    <v>0</v>
    <v>a21mim</v>
    <v>XNAS:QQQ</v>
    <v>143</v>
  </rv>
  <rv s="11">
    <v>37</v>
    <v>auvwoc</v>
    <v>Daily</v>
    <v>45979</v>
    <v>45979</v>
    <v>0</v>
    <v>1</v>
    <v>638990208000000000,639070850758453140,0</v>
    <v>0</v>
    <v>auvwoc</v>
    <v>Gold</v>
    <v>144</v>
  </rv>
  <rv s="11">
    <v>37</v>
    <v>auvwoc</v>
    <v>Daily</v>
    <v>46038</v>
    <v>46038</v>
    <v>0</v>
    <v>1</v>
    <v>639041184000000000,639070844632936114,0</v>
    <v>0</v>
    <v>auvwoc</v>
    <v>Gold</v>
    <v>145</v>
  </rv>
  <rv s="11">
    <v>37</v>
    <v>auvwoc</v>
    <v>Daily</v>
    <v>46065</v>
    <v>46065</v>
    <v>0</v>
    <v>1</v>
    <v>639064512000000000,639070848010172554,0</v>
    <v>0</v>
    <v>auvwoc</v>
    <v>Gold</v>
    <v>146</v>
  </rv>
  <rv s="11">
    <v>37</v>
    <v>auvwoc</v>
    <v>Daily</v>
    <v>45706</v>
    <v>45706</v>
    <v>0</v>
    <v>1</v>
    <v>638754336000000000,639070848011146716,0</v>
    <v>0</v>
    <v>auvwoc</v>
    <v>Gold</v>
    <v>147</v>
  </rv>
  <rv s="11">
    <v>37</v>
    <v>auvwoc</v>
    <v>Daily</v>
    <v>44974</v>
    <v>44974</v>
    <v>0</v>
    <v>1</v>
    <v>638121888000000000,639070844640630708,0</v>
    <v>0</v>
    <v>auvwoc</v>
    <v>Gold</v>
    <v>148</v>
  </rv>
  <rv s="11">
    <v>37</v>
    <v>auvwoc</v>
    <v>Daily</v>
    <v>44610</v>
    <v>44610</v>
    <v>0</v>
    <v>1</v>
    <v>637807392000000000,639070850759026213,0</v>
    <v>0</v>
    <v>auvwoc</v>
    <v>Gold</v>
    <v>149</v>
  </rv>
  <rv s="11">
    <v>37</v>
    <v>auvwoc</v>
    <v>Daily</v>
    <v>45520</v>
    <v>45520</v>
    <v>0</v>
    <v>1</v>
    <v>638593632000000000,639070844654598138,0</v>
    <v>0</v>
    <v>auvwoc</v>
    <v>Gold</v>
    <v>150</v>
  </rv>
  <rv s="11">
    <v>37</v>
    <v>auvwoc</v>
    <v>Daily</v>
    <v>45338</v>
    <v>45338</v>
    <v>0</v>
    <v>1</v>
    <v>638436384000000000,639070844651047638,0</v>
    <v>0</v>
    <v>auvwoc</v>
    <v>Gold</v>
    <v>151</v>
  </rv>
  <rv s="11">
    <v>37</v>
    <v>a233ur</v>
    <v>Daily</v>
    <v>46038</v>
    <v>46038</v>
    <v>0</v>
    <v>1</v>
    <v>639041184000000000,639070844622370762,0</v>
    <v>0</v>
    <v>a233ur</v>
    <v>ARCX:SLV</v>
    <v>152</v>
  </rv>
  <rv s="11">
    <v>37</v>
    <v>a233ur</v>
    <v>Daily</v>
    <v>45979</v>
    <v>45979</v>
    <v>0</v>
    <v>1</v>
    <v>638990208000000000,639070848012516085,0</v>
    <v>0</v>
    <v>a233ur</v>
    <v>ARCX:SLV</v>
    <v>153</v>
  </rv>
  <rv s="11">
    <v>37</v>
    <v>a1sp52</v>
    <v>Daily</v>
    <v>46038</v>
    <v>46038</v>
    <v>0</v>
    <v>1</v>
    <v>639041184000000000,639070844576074078,0</v>
    <v>0</v>
    <v>a1sp52</v>
    <v>XNYS:FCX</v>
    <v>154</v>
  </rv>
  <rv s="11">
    <v>37</v>
    <v>a1sp52</v>
    <v>Daily</v>
    <v>45979</v>
    <v>45979</v>
    <v>0</v>
    <v>1</v>
    <v>638990208000000000,639070848013618985,0</v>
    <v>0</v>
    <v>a1sp52</v>
    <v>XNYS:FCX</v>
    <v>155</v>
  </rv>
  <rv s="11">
    <v>37</v>
    <v>a1sp52</v>
    <v>Daily</v>
    <v>45706</v>
    <v>45706</v>
    <v>0</v>
    <v>1</v>
    <v>638754336000000000,639070848015434882,0</v>
    <v>0</v>
    <v>a1sp52</v>
    <v>XNYS:FCX</v>
    <v>156</v>
  </rv>
  <rv s="11">
    <v>37</v>
    <v>auvwr7</v>
    <v>Daily</v>
    <v>45979</v>
    <v>45979</v>
    <v>0</v>
    <v>1</v>
    <v>638990208000000000,639070848010989340,0</v>
    <v>0</v>
    <v>auvwr7</v>
    <v>Silver</v>
    <v>157</v>
  </rv>
  <rv s="11">
    <v>37</v>
    <v>auvwr7</v>
    <v>Daily</v>
    <v>45706</v>
    <v>45706</v>
    <v>0</v>
    <v>1</v>
    <v>638754336000000000,639070848012329713,0</v>
    <v>0</v>
    <v>auvwr7</v>
    <v>Silver</v>
    <v>158</v>
  </rv>
  <rv s="11">
    <v>37</v>
    <v>auvwr7</v>
    <v>Daily</v>
    <v>46065</v>
    <v>46065</v>
    <v>0</v>
    <v>1</v>
    <v>639064512000000000,639070848015230222,0</v>
    <v>0</v>
    <v>auvwr7</v>
    <v>Silver</v>
    <v>159</v>
  </rv>
  <rv s="11">
    <v>37</v>
    <v>auvwr7</v>
    <v>Daily</v>
    <v>46038</v>
    <v>46038</v>
    <v>0</v>
    <v>1</v>
    <v>639041184000000000,639070844584125999,0</v>
    <v>0</v>
    <v>auvwr7</v>
    <v>Silver</v>
    <v>160</v>
  </rv>
  <rv s="11">
    <v>37</v>
    <v>auvwr7</v>
    <v>Daily</v>
    <v>45338</v>
    <v>45338</v>
    <v>0</v>
    <v>1</v>
    <v>638436384000000000,639070844594956536,0</v>
    <v>0</v>
    <v>auvwr7</v>
    <v>Silver</v>
    <v>161</v>
  </rv>
  <rv s="11">
    <v>37</v>
    <v>auvwr7</v>
    <v>Daily</v>
    <v>45520</v>
    <v>45520</v>
    <v>0</v>
    <v>1</v>
    <v>638593632000000000,639070847661239365,0</v>
    <v>0</v>
    <v>auvwr7</v>
    <v>Silver</v>
    <v>162</v>
  </rv>
  <rv s="11">
    <v>37</v>
    <v>auvwr7</v>
    <v>Daily</v>
    <v>44610</v>
    <v>44610</v>
    <v>0</v>
    <v>1</v>
    <v>637807392000000000,639070848015068779,0</v>
    <v>0</v>
    <v>auvwr7</v>
    <v>Silver</v>
    <v>163</v>
  </rv>
  <rv s="11">
    <v>37</v>
    <v>auvwr7</v>
    <v>Daily</v>
    <v>44974</v>
    <v>44974</v>
    <v>0</v>
    <v>1</v>
    <v>638121888000000000,639070844654335621,0</v>
    <v>0</v>
    <v>auvwr7</v>
    <v>Silver</v>
    <v>164</v>
  </rv>
  <rv s="11">
    <v>37</v>
    <v>a1upz2</v>
    <v>Daily</v>
    <v>46065</v>
    <v>46065</v>
    <v>0</v>
    <v>1</v>
    <v>639064512000000000,639070848014498652,0</v>
    <v>0</v>
    <v>a1upz2</v>
    <v>XNYS:HL</v>
    <v>165</v>
  </rv>
  <rv s="11">
    <v>37</v>
    <v>a1upz2</v>
    <v>Daily</v>
    <v>46038</v>
    <v>46038</v>
    <v>0</v>
    <v>1</v>
    <v>639041184000000000,639070844577699242,0</v>
    <v>0</v>
    <v>a1upz2</v>
    <v>XNYS:HL</v>
    <v>166</v>
  </rv>
  <rv s="11">
    <v>37</v>
    <v>a1upz2</v>
    <v>Daily</v>
    <v>45706</v>
    <v>45706</v>
    <v>0</v>
    <v>1</v>
    <v>638754336000000000,639070853872427289,0</v>
    <v>0</v>
    <v>a1upz2</v>
    <v>XNYS:HL</v>
    <v>167</v>
  </rv>
  <rv s="11">
    <v>37</v>
    <v>a1upz2</v>
    <v>Daily</v>
    <v>45979</v>
    <v>45979</v>
    <v>0</v>
    <v>1</v>
    <v>638990208000000000,639070848010086577,0</v>
    <v>0</v>
    <v>a1upz2</v>
    <v>XNYS:HL</v>
    <v>168</v>
  </rv>
  <rv s="11">
    <v>42</v>
    <v>ab1y3m</v>
    <v>Daily</v>
    <v>45706</v>
    <v>45706</v>
    <v>0</v>
    <v>1</v>
    <v>638754336000000000,639070848799843895,0</v>
    <v>0</v>
    <v>ab1y3m</v>
    <v>XTSE:XIU</v>
    <v>169</v>
  </rv>
  <rv s="11">
    <v>42</v>
    <v>ab1y3m</v>
    <v>Daily</v>
    <v>45979</v>
    <v>45979</v>
    <v>0</v>
    <v>1</v>
    <v>638990208000000000,639070848799990413,0</v>
    <v>0</v>
    <v>ab1y3m</v>
    <v>XTSE:XIU</v>
    <v>170</v>
  </rv>
  <rv s="11">
    <v>42</v>
    <v>ab1y3m</v>
    <v>Daily</v>
    <v>46038</v>
    <v>46038</v>
    <v>0</v>
    <v>1</v>
    <v>639041184000000000,639070848800131812,0</v>
    <v>0</v>
    <v>ab1y3m</v>
    <v>XTSE:XIU</v>
    <v>171</v>
  </rv>
  <rv s="11">
    <v>42</v>
    <v>ab1y3m</v>
    <v>Daily</v>
    <v>46065</v>
    <v>46065</v>
    <v>0</v>
    <v>1</v>
    <v>639064512000000000,639070848800251290,0</v>
    <v>0</v>
    <v>ab1y3m</v>
    <v>XTSE:XIU</v>
    <v>172</v>
  </rv>
  <rv s="11">
    <v>42</v>
    <v>aay9k2</v>
    <v>Daily</v>
    <v>45706</v>
    <v>45706</v>
    <v>0</v>
    <v>1</v>
    <v>638754336000000000,639070850161590933,0</v>
    <v>0</v>
    <v>aay9k2</v>
    <v>XTSE:FNV</v>
    <v>173</v>
  </rv>
  <rv s="11">
    <v>42</v>
    <v>aay9k2</v>
    <v>Daily</v>
    <v>45979</v>
    <v>45979</v>
    <v>0</v>
    <v>1</v>
    <v>638990208000000000,639070850162067698,0</v>
    <v>0</v>
    <v>aay9k2</v>
    <v>XTSE:FNV</v>
    <v>174</v>
  </rv>
  <rv s="11">
    <v>42</v>
    <v>aay9k2</v>
    <v>Daily</v>
    <v>46065</v>
    <v>46065</v>
    <v>0</v>
    <v>1</v>
    <v>639064512000000000,639070850162544601,0</v>
    <v>0</v>
    <v>aay9k2</v>
    <v>XTSE:FNV</v>
    <v>175</v>
  </rv>
  <rv s="11">
    <v>42</v>
    <v>aay9k2</v>
    <v>Daily</v>
    <v>46038</v>
    <v>46038</v>
    <v>0</v>
    <v>1</v>
    <v>639041184000000000,639070850163037923,0</v>
    <v>0</v>
    <v>aay9k2</v>
    <v>XTSE:FNV</v>
    <v>176</v>
  </rv>
  <rv s="11">
    <v>42</v>
    <v>ab1ic7</v>
    <v>Daily</v>
    <v>46038</v>
    <v>46038</v>
    <v>0</v>
    <v>1</v>
    <v>639041184000000000,639070844590906510,0</v>
    <v>0</v>
    <v>ab1ic7</v>
    <v>XTSE:TRI</v>
    <v>177</v>
  </rv>
  <rv s="11">
    <v>42</v>
    <v>ab1ic7</v>
    <v>Daily</v>
    <v>45979</v>
    <v>45979</v>
    <v>0</v>
    <v>1</v>
    <v>638990208000000000,639070848009151492,0</v>
    <v>0</v>
    <v>ab1ic7</v>
    <v>XTSE:TRI</v>
    <v>178</v>
  </rv>
  <rv s="11">
    <v>42</v>
    <v>ab1ic7</v>
    <v>Daily</v>
    <v>46065</v>
    <v>46065</v>
    <v>0</v>
    <v>1</v>
    <v>639064512000000000,639070848009251053,0</v>
    <v>0</v>
    <v>ab1ic7</v>
    <v>XTSE:TRI</v>
    <v>179</v>
  </rv>
  <rv s="11">
    <v>42</v>
    <v>ab1ic7</v>
    <v>Daily</v>
    <v>45706</v>
    <v>45706</v>
    <v>0</v>
    <v>1</v>
    <v>638754336000000000,639070848009361158,0</v>
    <v>0</v>
    <v>ab1ic7</v>
    <v>XTSE:TRI</v>
    <v>180</v>
  </rv>
</rvData>
</file>

<file path=xl/richData/rdrichvaluestructure.xml><?xml version="1.0" encoding="utf-8"?>
<rvStructures xmlns="http://schemas.microsoft.com/office/spreadsheetml/2017/richdata" count="12">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linkedentity">
    <k n="%cvi" t="r"/>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EntityCulture" t="s"/>
    <k n="%EntityId" t="s"/>
    <k n="%EntityServiceId"/>
    <k n="%IsRefreshable" t="b"/>
    <k n="%ProviderInfo" t="s"/>
    <k n="_Display" t="spb"/>
    <k n="_DisplayString" t="s"/>
    <k n="_Flags" t="spb"/>
    <k n="_Format" t="spb"/>
    <k n="_Icon" t="s"/>
    <k n="_SubLabel" t="spb"/>
    <k n="52 week high"/>
    <k n="52 week low"/>
    <k n="Change"/>
    <k n="Change % (Extended hours)"/>
    <k n="Change (%)"/>
    <k n="Change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s t="_linkedentitycore">
    <k n="%EntityCulture" t="s"/>
    <k n="%EntityId" t="s"/>
    <k n="%EntityServiceId"/>
    <k n="%IsRefreshable" t="b"/>
    <k n="%ProviderInfo" t="s"/>
    <k n="_Display" t="spb"/>
    <k n="_DisplayString" t="s"/>
    <k n="_Flags" t="spb"/>
    <k n="_Format" t="spb"/>
    <k n="_Icon" t="s"/>
    <k n="Category" t="s"/>
    <k n="Change"/>
    <k n="Change (%)"/>
    <k n="Country/region" t="s"/>
    <k n="Currency" t="s"/>
    <k n="Expiration Date"/>
    <k n="Instrument type" t="s"/>
    <k n="Last trade time"/>
    <k n="LearnMoreOnLink" t="r"/>
    <k n="Month"/>
    <k n="Name" t="s"/>
    <k n="Price"/>
    <k n="Ticker symbol" t="s"/>
    <k n="Trade Unit" t="s"/>
    <k n="UniqueName" t="s"/>
    <k n="Year"/>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Arrays count="8">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a count="26">
      <v t="s">%EntityServiceId</v>
      <v t="s">_Format</v>
      <v t="s">%IsRefreshable</v>
      <v t="s">%EntityCulture</v>
      <v t="s">%EntityId</v>
      <v t="s">_Icon</v>
      <v t="s">_Display</v>
      <v t="s">Name</v>
      <v t="s">Price</v>
      <v t="s">Last trade time</v>
      <v t="s">Ticker symbol</v>
      <v t="s">Change</v>
      <v t="s">Change (%)</v>
      <v t="s">Currency</v>
      <v t="s">Category</v>
      <v t="s">Expiration Date</v>
      <v t="s">Trade Unit</v>
      <v t="s">Year</v>
      <v t="s">Month</v>
      <v t="s">Country/region</v>
      <v t="s">Instrument type</v>
      <v t="s">_Flags</v>
      <v t="s">UniqueName</v>
      <v t="s">_DisplayString</v>
      <v t="s">LearnMoreOnLink</v>
      <v t="s">%ProviderInfo</v>
    </a>
  </spbArrays>
  <spbData count="46">
    <spb s="0">
      <v>0</v>
      <v>Name</v>
      <v>LearnMoreOnLink</v>
    </spb>
    <spb s="1">
      <v>0</v>
      <v>0</v>
      <v>0</v>
    </spb>
    <spb s="2">
      <v>1</v>
      <v>1</v>
      <v>1</v>
    </spb>
    <spb s="3">
      <v>1</v>
      <v>2</v>
      <v>1</v>
      <v>3</v>
      <v>1</v>
      <v>1</v>
      <v>1</v>
      <v>4</v>
      <v>5</v>
      <v>6</v>
      <v>1</v>
      <v>1</v>
      <v>5</v>
      <v>1</v>
      <v>4</v>
      <v>7</v>
      <v>8</v>
    </spb>
    <spb s="4">
      <v>Real-Time Nasdaq Last Sale</v>
      <v>from previous close</v>
      <v>Source: Nasdaq Last Sale</v>
      <v>from previous close</v>
      <v>GMT</v>
    </spb>
    <spb s="0">
      <v>1</v>
      <v>Name</v>
      <v>LearnMoreOnLink</v>
    </spb>
    <spb s="5">
      <v>1</v>
      <v>2</v>
      <v>1</v>
      <v>3</v>
      <v>1</v>
      <v>1</v>
      <v>1</v>
      <v>4</v>
      <v>5</v>
      <v>6</v>
      <v>1</v>
      <v>1</v>
      <v>5</v>
      <v>1</v>
      <v>4</v>
      <v>7</v>
      <v>8</v>
      <v>1</v>
      <v>1</v>
      <v>5</v>
    </spb>
    <spb s="6">
      <v>at close</v>
      <v>from previous close</v>
      <v>Source: Nasdaq Last Sale</v>
      <v>from previous close</v>
      <v>GMT</v>
      <v>Real-Time Nasdaq Last Sale</v>
      <v>from close</v>
      <v>from close</v>
    </spb>
    <spb s="0">
      <v>2</v>
      <v>Name</v>
      <v>LearnMoreOnLink</v>
    </spb>
    <spb s="7">
      <v>9</v>
      <v>2</v>
      <v>9</v>
      <v>3</v>
      <v>9</v>
      <v>9</v>
      <v>9</v>
      <v>4</v>
      <v>5</v>
      <v>10</v>
      <v>9</v>
      <v>9</v>
      <v>5</v>
      <v>9</v>
      <v>7</v>
      <v>8</v>
    </spb>
    <spb s="8">
      <v>Delayed 20 minutes</v>
      <v>from previous close</v>
      <v>from previous close</v>
      <v>GMT</v>
    </spb>
    <spb s="6">
      <v>at close</v>
      <v>from previous close</v>
      <v>Source: Nasdaq</v>
      <v>from previous close</v>
      <v>GMT</v>
      <v>Delayed 15 minutes</v>
      <v>from close</v>
      <v>from close</v>
    </spb>
    <spb s="9">
      <v>3</v>
      <v>Name</v>
    </spb>
    <spb s="10">
      <v>1</v>
      <v>1</v>
    </spb>
    <spb s="11">
      <v>1</v>
      <v>1</v>
      <v>3</v>
      <v>1</v>
      <v>1</v>
      <v>1</v>
      <v>4</v>
      <v>5</v>
      <v>6</v>
      <v>1</v>
      <v>1</v>
      <v>5</v>
      <v>1</v>
      <v>4</v>
      <v>7</v>
      <v>8</v>
      <v>1</v>
      <v>1</v>
      <v>5</v>
    </spb>
    <spb s="0">
      <v>4</v>
      <v>Name</v>
      <v>LearnMoreOnLink</v>
    </spb>
    <spb s="12">
      <v>1</v>
      <v>1</v>
      <v>1</v>
      <v>1</v>
    </spb>
    <spb s="13">
      <v>9</v>
      <v>2</v>
      <v>2</v>
      <v>9</v>
      <v>3</v>
      <v>9</v>
      <v>9</v>
      <v>9</v>
      <v>4</v>
      <v>4</v>
      <v>5</v>
      <v>10</v>
      <v>9</v>
      <v>9</v>
      <v>9</v>
      <v>4</v>
      <v>7</v>
      <v>11</v>
      <v>8</v>
      <v>4</v>
      <v>9</v>
      <v>9</v>
      <v>5</v>
    </spb>
    <spb s="14">
      <v>at close</v>
      <v>from previous close</v>
      <v>from previous close</v>
      <v>GMT</v>
      <v>Delayed 20 minutes</v>
      <v>from close</v>
      <v>from close</v>
    </spb>
    <spb s="13">
      <v>1</v>
      <v>2</v>
      <v>2</v>
      <v>1</v>
      <v>3</v>
      <v>1</v>
      <v>1</v>
      <v>1</v>
      <v>4</v>
      <v>4</v>
      <v>5</v>
      <v>6</v>
      <v>1</v>
      <v>1</v>
      <v>1</v>
      <v>4</v>
      <v>7</v>
      <v>11</v>
      <v>8</v>
      <v>4</v>
      <v>1</v>
      <v>1</v>
      <v>5</v>
    </spb>
    <spb s="15">
      <v>at close</v>
      <v>from previous close</v>
      <v>from previous close</v>
      <v>Source: Nasdaq</v>
      <v>GMT</v>
      <v>Delayed 15 minutes</v>
      <v>from close</v>
      <v>from close</v>
    </spb>
    <spb s="15">
      <v>at close</v>
      <v>from previous close</v>
      <v>from previous close</v>
      <v>Source: Nasdaq Last Sale</v>
      <v>GMT</v>
      <v>Real-Time Nasdaq Last Sale</v>
      <v>from close</v>
      <v>from close</v>
    </spb>
    <spb s="13">
      <v>1</v>
      <v>2</v>
      <v>2</v>
      <v>1</v>
      <v>3</v>
      <v>1</v>
      <v>1</v>
      <v>1</v>
      <v>4</v>
      <v>4</v>
      <v>5</v>
      <v>10</v>
      <v>1</v>
      <v>1</v>
      <v>1</v>
      <v>4</v>
      <v>7</v>
      <v>11</v>
      <v>8</v>
      <v>4</v>
      <v>1</v>
      <v>1</v>
      <v>5</v>
    </spb>
    <spb s="9">
      <v>5</v>
      <v>Name</v>
    </spb>
    <spb s="16">
      <v>9</v>
      <v>9</v>
      <v>3</v>
      <v>9</v>
      <v>9</v>
      <v>9</v>
      <v>5</v>
      <v>9</v>
      <v>9</v>
      <v>9</v>
      <v>7</v>
      <v>8</v>
    </spb>
    <spb s="17">
      <v>GMT</v>
    </spb>
    <spb s="16">
      <v>1</v>
      <v>1</v>
      <v>3</v>
      <v>1</v>
      <v>1</v>
      <v>1</v>
      <v>5</v>
      <v>1</v>
      <v>1</v>
      <v>1</v>
      <v>7</v>
      <v>8</v>
    </spb>
    <spb s="16">
      <v>12</v>
      <v>12</v>
      <v>3</v>
      <v>12</v>
      <v>12</v>
      <v>12</v>
      <v>5</v>
      <v>12</v>
      <v>12</v>
      <v>12</v>
      <v>7</v>
      <v>8</v>
    </spb>
    <spb s="16">
      <v>13</v>
      <v>13</v>
      <v>3</v>
      <v>13</v>
      <v>13</v>
      <v>13</v>
      <v>5</v>
      <v>13</v>
      <v>13</v>
      <v>13</v>
      <v>7</v>
      <v>8</v>
    </spb>
    <spb s="9">
      <v>6</v>
      <v>Name</v>
    </spb>
    <spb s="18">
      <v>3</v>
      <v>14</v>
      <v>14</v>
      <v>5</v>
      <v>14</v>
      <v>14</v>
      <v>14</v>
      <v>7</v>
      <v>8</v>
    </spb>
    <spb s="16">
      <v>15</v>
      <v>15</v>
      <v>3</v>
      <v>15</v>
      <v>15</v>
      <v>15</v>
      <v>5</v>
      <v>15</v>
      <v>15</v>
      <v>15</v>
      <v>7</v>
      <v>8</v>
    </spb>
    <spb s="16">
      <v>16</v>
      <v>16</v>
      <v>3</v>
      <v>16</v>
      <v>16</v>
      <v>16</v>
      <v>5</v>
      <v>16</v>
      <v>16</v>
      <v>16</v>
      <v>7</v>
      <v>8</v>
    </spb>
    <spb s="16">
      <v>17</v>
      <v>17</v>
      <v>3</v>
      <v>17</v>
      <v>17</v>
      <v>17</v>
      <v>5</v>
      <v>17</v>
      <v>17</v>
      <v>17</v>
      <v>7</v>
      <v>8</v>
    </spb>
    <spb s="16">
      <v>18</v>
      <v>18</v>
      <v>3</v>
      <v>18</v>
      <v>18</v>
      <v>18</v>
      <v>5</v>
      <v>18</v>
      <v>18</v>
      <v>18</v>
      <v>7</v>
      <v>8</v>
    </spb>
    <spb s="0">
      <v>7</v>
      <v>Name</v>
      <v>LearnMoreOnLink</v>
    </spb>
    <spb s="19">
      <v>3</v>
      <v>11</v>
      <v>11</v>
      <v>1</v>
      <v>1</v>
      <v>5</v>
      <v>19</v>
      <v>7</v>
      <v>8</v>
    </spb>
    <spb s="20">
      <v>19</v>
      <v>1</v>
    </spb>
    <spb s="20">
      <v>19</v>
      <v>12</v>
    </spb>
    <spb s="20">
      <v>19</v>
      <v>14</v>
    </spb>
    <spb s="20">
      <v>19</v>
      <v>18</v>
    </spb>
    <spb s="20">
      <v>19</v>
      <v>17</v>
    </spb>
    <spb s="20">
      <v>19</v>
      <v>9</v>
    </spb>
    <spb s="20">
      <v>19</v>
      <v>16</v>
    </spb>
    <spb s="20">
      <v>19</v>
      <v>13</v>
    </spb>
    <spb s="20">
      <v>19</v>
      <v>15</v>
    </spb>
  </spbData>
</supportingPropertyBags>
</file>

<file path=xl/richData/rdsupportingpropertybagstructure.xml><?xml version="1.0" encoding="utf-8"?>
<spbStructures xmlns="http://schemas.microsoft.com/office/spreadsheetml/2017/richdata2" count="21">
  <s>
    <k n="^Order" t="spba"/>
    <k n="TitleProperty" t="s"/>
    <k n="SubTitleProperty" t="s"/>
  </s>
  <s>
    <k n="ShowInCardView" t="b"/>
    <k n="ShowInDotNotation" t="b"/>
    <k n="ShowInAutoComplete" t="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Beta" t="i"/>
    <k n="High" t="i"/>
    <k n="Name" t="i"/>
    <k n="Open" t="i"/>
    <k n="Price" t="i"/>
    <k n="Change" t="i"/>
    <k n="Volume" t="i"/>
    <k n="Change (%)" t="i"/>
    <k n="Market cap" t="i"/>
    <k n="52 week low" t="i"/>
    <k n="52 week high" t="i"/>
    <k n="Expense ratio" t="i"/>
    <k n="Previous close" t="i"/>
    <k n="Last trade time" t="i"/>
    <k n="`%EntityServiceId" t="i"/>
  </s>
  <s>
    <k n="Price" t="s"/>
    <k n="Change" t="s"/>
    <k n="Change (%)" t="s"/>
    <k n="Last trade time" t="s"/>
  </s>
  <s>
    <k n="^Order" t="spba"/>
    <k n="TitleProperty" t="s"/>
  </s>
  <s>
    <k n="UniqueName" t="spb"/>
    <k n="`%ProviderInfo" t="spb"/>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Price" t="s"/>
    <k n="Change" t="s"/>
    <k n="Change (%)" t="s"/>
    <k n="ExchangeID" t="s"/>
    <k n="Last trade time" t="s"/>
    <k n="Price (Extended hours)" t="s"/>
    <k n="Change (Extended hours)" t="s"/>
    <k n="Change % (Extended hours)" t="s"/>
  </s>
  <s>
    <k n="Low" t="i"/>
    <k n="High" t="i"/>
    <k n="Name" t="i"/>
    <k n="Open" t="i"/>
    <k n="Price" t="i"/>
    <k n="Change" t="i"/>
    <k n="Change (%)" t="i"/>
    <k n="52 week low" t="i"/>
    <k n="52 week high" t="i"/>
    <k n="Previous close" t="i"/>
    <k n="Last trade time" t="i"/>
    <k n="`%EntityServiceId" t="i"/>
  </s>
  <s>
    <k n="Last trade time" t="s"/>
  </s>
  <s>
    <k n="Name" t="i"/>
    <k n="Price" t="i"/>
    <k n="Change" t="i"/>
    <k n="Change (%)" t="i"/>
    <k n="52 week low" t="i"/>
    <k n="52 week high" t="i"/>
    <k n="Previous close" t="i"/>
    <k n="Last trade time" t="i"/>
    <k n="`%EntityServiceId" t="i"/>
  </s>
  <s>
    <k n="Name" t="i"/>
    <k n="Year" t="i"/>
    <k n="Month" t="i"/>
    <k n="Price" t="i"/>
    <k n="Change" t="i"/>
    <k n="Change (%)" t="i"/>
    <k n="Expiration Date" t="i"/>
    <k n="Last trade time" t="i"/>
    <k n="`%EntityServiceId"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x:dxf>
      <x:numFmt numFmtId="19" formatCode="m/d/yyyy"/>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0">
      <rpv i="0">0.00</rpv>
    </rSty>
    <rSty dxfid="1">
      <rpv i="0">_-[$$-en-CA]* #,##0.00_-;-[$$-en-CA]* #,##0.00_-;_-[$$-en-CA]* "-"??_-;_-@_-</rpv>
    </rSty>
    <rSty dxfid="1">
      <rpv i="0">_-[$$-en-CA]* #,##0_-;-[$$-en-CA]* #,##0_-;_-[$$-en-CA]* "-"_-;_-@_-</rpv>
    </rSty>
    <rSty dxfid="6">
      <rpv i="0">0</rpv>
    </rSty>
    <rSty dxfid="1">
      <rpv i="0">_([$€-x-euro2] * #,##0.00_);_([$€-x-euro2] * (#,##0.00);_([$€-x-euro2] * "-"??_);_(@_)</rpv>
    </rSty>
    <rSty dxfid="1">
      <rpv i="0">_-[$¥-ja-JP]* #,##0.00_-;-[$¥-ja-JP]* #,##0.00_-;_-[$¥-ja-JP]* "-"??_-;_-@_-</rpv>
    </rSty>
    <rSty dxfid="1">
      <rpv i="0" xml:space="preserve">_ [$¥-zh-CN]* #,##0.00_ ;_ [$¥-zh-CN]* -#,##0.00_ ;_ [$¥-zh-CN]* "-"??_ ;_ @_ </rpv>
    </rSty>
    <rSty dxfid="1">
      <rpv i="0">_-[$₺-tr-TR]* #,##0.00_-;-[$₺-tr-TR]* #,##0.00_-;_-[$₺-tr-TR]* "-"??_-;_-@_-</rpv>
    </rSty>
    <rSty dxfid="1">
      <rpv i="0" xml:space="preserve">_ [$₹-as-IN] * #,##0.00_ ;_ [$₹-as-IN] * -#,##0.00_ ;_ [$₹-as-IN] * "-"??_ ;_ @_ </rpv>
    </rSty>
    <rSty dxfid="1">
      <rpv i="0">_-[$$-zh-SG]* #,##0.00_-;-[$$-zh-SG]* #,##0.00_-;_-[$$-zh-SG]* "-"??_-;_-@_-</rpv>
    </rSty>
    <rSty dxfid="1">
      <rpv i="0">_-[$NT$-zh-TW]* #,##0.00_-;-[$NT$-zh-TW]* #,##0.00_-;_-[$NT$-zh-TW]* "-"??_-;_-@_-</rpv>
    </rSty>
    <rSty dxfid="7"/>
  </richStyles>
</richStyleShee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4BD81-6DB1-4B58-AD9D-937BA1F33E86}">
  <dimension ref="A1:L21"/>
  <sheetViews>
    <sheetView workbookViewId="0">
      <pane ySplit="1" topLeftCell="A2" activePane="bottomLeft" state="frozen"/>
      <selection pane="bottomLeft" activeCell="D19" sqref="D19"/>
    </sheetView>
  </sheetViews>
  <sheetFormatPr defaultRowHeight="14.5" x14ac:dyDescent="0.35"/>
  <cols>
    <col min="1" max="1" width="51.1796875" customWidth="1"/>
    <col min="2" max="2" width="5.81640625" customWidth="1"/>
    <col min="3" max="3" width="8.54296875" customWidth="1"/>
    <col min="4" max="4" width="7.453125" customWidth="1"/>
    <col min="5" max="5" width="8.81640625" style="3"/>
    <col min="6" max="6" width="5.54296875" customWidth="1"/>
    <col min="7" max="7" width="7.36328125" style="4" customWidth="1"/>
    <col min="8" max="8" width="8.90625" style="4" customWidth="1"/>
    <col min="9" max="9" width="11.81640625" style="2" bestFit="1" customWidth="1"/>
    <col min="10" max="10" width="11.1796875" customWidth="1"/>
    <col min="11" max="11" width="10.453125" customWidth="1"/>
    <col min="12" max="12" width="11.81640625" customWidth="1"/>
  </cols>
  <sheetData>
    <row r="1" spans="1:12" x14ac:dyDescent="0.35">
      <c r="A1" t="s">
        <v>5</v>
      </c>
      <c r="B1" t="s">
        <v>6</v>
      </c>
      <c r="C1" t="s">
        <v>7</v>
      </c>
      <c r="D1" t="s">
        <v>8</v>
      </c>
      <c r="E1" s="3" t="s">
        <v>9</v>
      </c>
      <c r="F1" t="s">
        <v>10</v>
      </c>
      <c r="G1" s="4" t="s">
        <v>11</v>
      </c>
      <c r="H1" s="4" t="s">
        <v>12</v>
      </c>
      <c r="I1" s="8">
        <f ca="1">WORKDAY(TODAY(),-5)</f>
        <v>46065</v>
      </c>
      <c r="J1" s="8">
        <f ca="1">WORKDAY(EDATE(TODAY(),-1),-1)</f>
        <v>46038</v>
      </c>
      <c r="K1" s="8">
        <f ca="1">WORKDAY(EDATE(TODAY(),-3),-1)</f>
        <v>45979</v>
      </c>
      <c r="L1" s="8">
        <f ca="1">WORKDAY(EDATE(TODAY(),-12),-1)</f>
        <v>45706</v>
      </c>
    </row>
    <row r="2" spans="1:12" ht="18" customHeight="1" x14ac:dyDescent="0.35">
      <c r="A2" s="5" t="e" vm="1">
        <v>#VALUE!</v>
      </c>
      <c r="B2" s="5" t="s">
        <v>1</v>
      </c>
      <c r="C2" s="5" t="str" cm="1">
        <f t="array" aca="1" ref="C2" ca="1">_FV(A2,"Ticker symbol",TRUE)</f>
        <v>SPY</v>
      </c>
      <c r="D2" s="6">
        <v>100</v>
      </c>
      <c r="E2" s="3" cm="1">
        <f t="array" aca="1" ref="E2" ca="1">_FV(A2,"Price")</f>
        <v>686.24</v>
      </c>
      <c r="F2" t="str" cm="1">
        <f t="array" aca="1" ref="F2" ca="1">_FV(A2,"Currency")</f>
        <v>USD</v>
      </c>
      <c r="G2" s="4">
        <f t="shared" ref="G2" ca="1" si="0">D2*E2</f>
        <v>68624</v>
      </c>
      <c r="H2" s="4">
        <f ca="1">IF(F2="CAD",G2,(G2*Currency!$B$2))</f>
        <v>93891.356800000009</v>
      </c>
      <c r="I2" s="2" cm="1">
        <f t="array" aca="1" ref="I2" ca="1">($E2 - _xlfn.STOCKHISTORY($A2, I$1,I$1,0,0,1))/$E2</f>
        <v>7.2423641874563233E-3</v>
      </c>
      <c r="J2" s="2" cm="1">
        <f t="array" aca="1" ref="J2" ca="1">($E2 - _xlfn.STOCKHISTORY($A2, J$1,J$1,0,0,1))/$E2</f>
        <v>-7.8981114478898912E-3</v>
      </c>
      <c r="K2" s="2" cm="1">
        <f t="array" aca="1" ref="K2" ca="1">($E2 - _xlfn.STOCKHISTORY($A2, K$1,K$1,0,0,1))/$E2</f>
        <v>3.8120774073210489E-2</v>
      </c>
      <c r="L2" s="2" cm="1">
        <f t="array" aca="1" ref="L2" ca="1">($E2 - _xlfn.STOCKHISTORY($A2, L$1,L$1,0,0,1))/$E2</f>
        <v>0.10892690603870366</v>
      </c>
    </row>
    <row r="3" spans="1:12" ht="18" customHeight="1" x14ac:dyDescent="0.35">
      <c r="A3" s="5" t="e" vm="2">
        <v>#VALUE!</v>
      </c>
      <c r="B3" s="5" t="s">
        <v>1</v>
      </c>
      <c r="C3" s="5" t="str" cm="1">
        <f t="array" aca="1" ref="C3" ca="1">_FV(A3,"Ticker symbol",TRUE)</f>
        <v>QQQ</v>
      </c>
      <c r="D3" s="6">
        <v>100</v>
      </c>
      <c r="E3" s="3" cm="1">
        <f t="array" aca="1" ref="E3" ca="1">_FV(A3,"Price")</f>
        <v>605.79</v>
      </c>
      <c r="F3" t="str" cm="1">
        <f t="array" aca="1" ref="F3" ca="1">_FV(A3,"Currency")</f>
        <v>USD</v>
      </c>
      <c r="G3" s="4">
        <f t="shared" ref="G3:G8" ca="1" si="1">D3*E3</f>
        <v>60579</v>
      </c>
      <c r="H3" s="4">
        <f ca="1">IF(F3="CAD",G3,(G3*Currency!$B$2))</f>
        <v>82884.1878</v>
      </c>
      <c r="I3" s="2" cm="1">
        <f t="array" aca="1" ref="I3" ca="1">($E3 - _xlfn.STOCKHISTORY($A3, I$1,I$1,0,0,1))/$E3</f>
        <v>8.5012958285874268E-3</v>
      </c>
      <c r="J3" s="2" cm="1">
        <f t="array" aca="1" ref="J3" ca="1">($E3 - _xlfn.STOCKHISTORY($A3, J$1,J$1,0,0,1))/$E3</f>
        <v>-2.5536902226844332E-2</v>
      </c>
      <c r="K3" s="2" cm="1">
        <f t="array" aca="1" ref="K3" ca="1">($E3 - _xlfn.STOCKHISTORY($A3, K$1,K$1,0,0,1))/$E3</f>
        <v>1.5648987272817345E-2</v>
      </c>
      <c r="L3" s="2" t="e" cm="1" vm="3">
        <f t="array" aca="1" ref="L3" ca="1">($E3 - _xlfn.STOCKHISTORY($A3, L$1,L$1,0,0,1))/$E3</f>
        <v>#VALUE!</v>
      </c>
    </row>
    <row r="4" spans="1:12" x14ac:dyDescent="0.35">
      <c r="A4" s="5" t="e" vm="4">
        <v>#VALUE!</v>
      </c>
      <c r="B4" s="5" t="s">
        <v>1</v>
      </c>
      <c r="C4" s="5" t="str" cm="1">
        <f t="array" aca="1" ref="C4" ca="1">_FV(A4,"Ticker symbol",TRUE)</f>
        <v>XIU</v>
      </c>
      <c r="D4" s="6">
        <v>2000</v>
      </c>
      <c r="E4" s="3" cm="1">
        <f t="array" aca="1" ref="E4" ca="1">_FV(A4,"Price")</f>
        <v>49.08</v>
      </c>
      <c r="F4" t="str" cm="1">
        <f t="array" aca="1" ref="F4" ca="1">_FV(A4,"Currency")</f>
        <v>CAD</v>
      </c>
      <c r="G4" s="4">
        <f t="shared" ca="1" si="1"/>
        <v>98160</v>
      </c>
      <c r="H4" s="4">
        <f ca="1">IF(F4="CAD",G4,(G4*Currency!$B$2))</f>
        <v>98160</v>
      </c>
      <c r="I4" s="2" cm="1">
        <f t="array" aca="1" ref="I4" ca="1">($E4 - _xlfn.STOCKHISTORY($A4, I$1,I$1,0,0,1))/$E4</f>
        <v>2.6283618581907073E-2</v>
      </c>
      <c r="J4" s="2" cm="1">
        <f t="array" aca="1" ref="J4" ca="1">($E4 - _xlfn.STOCKHISTORY($A4, J$1,J$1,0,0,1))/$E4</f>
        <v>8.9649551752240784E-3</v>
      </c>
      <c r="K4" s="2" cm="1">
        <f t="array" aca="1" ref="K4" ca="1">($E4 - _xlfn.STOCKHISTORY($A4, K$1,K$1,0,0,1))/$E4</f>
        <v>8.5370823145884234E-2</v>
      </c>
      <c r="L4" s="2" cm="1">
        <f t="array" aca="1" ref="L4" ca="1">($E4 - _xlfn.STOCKHISTORY($A4, L$1,L$1,0,0,1))/$E4</f>
        <v>0.20273023634881818</v>
      </c>
    </row>
    <row r="5" spans="1:12" x14ac:dyDescent="0.35">
      <c r="A5" s="5" t="e" vm="5">
        <v>#VALUE!</v>
      </c>
      <c r="B5" s="5" t="s">
        <v>1</v>
      </c>
      <c r="C5" s="5" t="str" cm="1">
        <f t="array" aca="1" ref="C5" ca="1">_FV(A5,"Ticker symbol",TRUE)</f>
        <v>TLT</v>
      </c>
      <c r="D5" s="6">
        <v>800</v>
      </c>
      <c r="E5" s="3" cm="1">
        <f t="array" aca="1" ref="E5" ca="1">_FV(A5,"Price")</f>
        <v>89.53</v>
      </c>
      <c r="F5" t="str" cm="1">
        <f t="array" aca="1" ref="F5" ca="1">_FV(A5,"Currency")</f>
        <v>USD</v>
      </c>
      <c r="G5" s="4">
        <f t="shared" ref="G5:G7" ca="1" si="2">D5*E5</f>
        <v>71624</v>
      </c>
      <c r="H5" s="4">
        <f ca="1">IF(F5="CAD",G5,(G5*Currency!$B$2))</f>
        <v>97995.9568</v>
      </c>
      <c r="I5" s="2" t="e" cm="1" vm="3">
        <f t="array" aca="1" ref="I5" ca="1">($E5 - _xlfn.STOCKHISTORY($A5, I$1,I$1,0,0,1))/$E5</f>
        <v>#VALUE!</v>
      </c>
      <c r="J5" s="2" cm="1">
        <f t="array" aca="1" ref="J5" ca="1">($E5 - _xlfn.STOCKHISTORY($A5, J$1,J$1,0,0,1))/$E5</f>
        <v>1.93231319110913E-2</v>
      </c>
      <c r="K5" s="2" t="e" cm="1" vm="3">
        <f t="array" aca="1" ref="K5" ca="1">($E5 - _xlfn.STOCKHISTORY($A5, K$1,K$1,0,0,1))/$E5</f>
        <v>#VALUE!</v>
      </c>
      <c r="L5" s="2" t="e" cm="1" vm="3">
        <f t="array" aca="1" ref="L5" ca="1">($E5 - _xlfn.STOCKHISTORY($A5, L$1,L$1,0,0,1))/$E5</f>
        <v>#VALUE!</v>
      </c>
    </row>
    <row r="6" spans="1:12" x14ac:dyDescent="0.35">
      <c r="A6" s="5" t="e" vm="6">
        <v>#VALUE!</v>
      </c>
      <c r="B6" s="5" t="s">
        <v>1</v>
      </c>
      <c r="C6" s="5" t="str" cm="1">
        <f t="array" aca="1" ref="C6" ca="1">_FV(A6,"Ticker symbol",TRUE)</f>
        <v>GBUG</v>
      </c>
      <c r="D6" s="6">
        <v>1000</v>
      </c>
      <c r="E6" s="3" cm="1">
        <f t="array" aca="1" ref="E6" ca="1">_FV(A6,"Price")</f>
        <v>50.626100000000001</v>
      </c>
      <c r="F6" t="str" cm="1">
        <f t="array" aca="1" ref="F6" ca="1">_FV(A6,"Currency")</f>
        <v>USD</v>
      </c>
      <c r="G6" s="4">
        <f t="shared" ca="1" si="2"/>
        <v>50626.1</v>
      </c>
      <c r="H6" s="4">
        <f ca="1">IF(F6="CAD",G6,(G6*Currency!$B$2))</f>
        <v>69266.630019999997</v>
      </c>
      <c r="I6" s="2" t="e" cm="1" vm="3">
        <f t="array" aca="1" ref="I6" ca="1">($E6 - _xlfn.STOCKHISTORY($A6, I$1,I$1,0,0,1))/$E6</f>
        <v>#VALUE!</v>
      </c>
      <c r="J6" s="2" cm="1">
        <f t="array" aca="1" ref="J6" ca="1">($E6 - _xlfn.STOCKHISTORY($A6, J$1,J$1,0,0,1))/$E6</f>
        <v>5.3057612575331758E-2</v>
      </c>
      <c r="K6" s="2" t="e" cm="1" vm="3">
        <f t="array" aca="1" ref="K6" ca="1">($E6 - _xlfn.STOCKHISTORY($A6, K$1,K$1,0,0,1))/$E6</f>
        <v>#VALUE!</v>
      </c>
      <c r="L6" s="2" t="e" cm="1" vm="3">
        <f t="array" aca="1" ref="L6" ca="1">($E6 - _xlfn.STOCKHISTORY($A6, L$1,L$1,0,0,1))/$E6</f>
        <v>#VALUE!</v>
      </c>
    </row>
    <row r="7" spans="1:12" x14ac:dyDescent="0.35">
      <c r="A7" s="5" t="e" vm="7">
        <v>#VALUE!</v>
      </c>
      <c r="B7" s="5" t="s">
        <v>1</v>
      </c>
      <c r="C7" s="5" t="str" cm="1">
        <f t="array" aca="1" ref="C7" ca="1">_FV(A7,"Ticker symbol",TRUE)</f>
        <v>FNV</v>
      </c>
      <c r="D7" s="6">
        <v>200</v>
      </c>
      <c r="E7" s="3" cm="1">
        <f t="array" aca="1" ref="E7" ca="1">_FV(A7,"Price")</f>
        <v>348.1</v>
      </c>
      <c r="F7" t="str" cm="1">
        <f t="array" aca="1" ref="F7" ca="1">_FV(A7,"Currency")</f>
        <v>CAD</v>
      </c>
      <c r="G7" s="4">
        <f t="shared" ca="1" si="2"/>
        <v>69620</v>
      </c>
      <c r="H7" s="4">
        <f ca="1">IF(F7="CAD",G7,(G7*Currency!$B$2))</f>
        <v>69620</v>
      </c>
      <c r="I7" s="2" cm="1">
        <f t="array" aca="1" ref="I7" ca="1">($E7 - _xlfn.STOCKHISTORY($A7, I$1,I$1,0,0,1))/$E7</f>
        <v>6.3142775064636641E-2</v>
      </c>
      <c r="J7" s="2" cm="1">
        <f t="array" aca="1" ref="J7" ca="1">($E7 - _xlfn.STOCKHISTORY($A7, J$1,J$1,0,0,1))/$E7</f>
        <v>2.6802642918701637E-2</v>
      </c>
      <c r="K7" s="2" cm="1">
        <f t="array" aca="1" ref="K7" ca="1">($E7 - _xlfn.STOCKHISTORY($A7, K$1,K$1,0,0,1))/$E7</f>
        <v>0.21591496696351628</v>
      </c>
      <c r="L7" s="2" cm="1">
        <f t="array" aca="1" ref="L7" ca="1">($E7 - _xlfn.STOCKHISTORY($A7, L$1,L$1,0,0,1))/$E7</f>
        <v>0.42651536914679694</v>
      </c>
    </row>
    <row r="8" spans="1:12" x14ac:dyDescent="0.35">
      <c r="A8" s="5" t="e" vm="8">
        <v>#VALUE!</v>
      </c>
      <c r="B8" s="5" t="s">
        <v>1</v>
      </c>
      <c r="C8" s="5" t="str" cm="1">
        <f t="array" aca="1" ref="C8" ca="1">_FV(A8,"Ticker symbol",TRUE)</f>
        <v>WPM</v>
      </c>
      <c r="D8" s="6">
        <v>400</v>
      </c>
      <c r="E8" s="3" cm="1">
        <f t="array" aca="1" ref="E8" ca="1">_FV(A8,"Price")</f>
        <v>198.4</v>
      </c>
      <c r="F8" t="str" cm="1">
        <f t="array" aca="1" ref="F8" ca="1">_FV(A8,"Currency")</f>
        <v>CAD</v>
      </c>
      <c r="G8" s="4">
        <f t="shared" ca="1" si="1"/>
        <v>79360</v>
      </c>
      <c r="H8" s="4">
        <f ca="1">IF(F8="CAD",G8,(G8*Currency!$B$2))</f>
        <v>79360</v>
      </c>
      <c r="I8" s="2" t="e" cm="1" vm="3">
        <f t="array" aca="1" ref="I8" ca="1">($E8 - _xlfn.STOCKHISTORY($A8, I$1,I$1,0,0,1))/$E8</f>
        <v>#VALUE!</v>
      </c>
      <c r="J8" s="2" t="e" cm="1" vm="3">
        <f t="array" aca="1" ref="J8" ca="1">($E8 - _xlfn.STOCKHISTORY($A8, J$1,J$1,0,0,1))/$E8</f>
        <v>#VALUE!</v>
      </c>
      <c r="K8" s="2" t="e" cm="1" vm="3">
        <f t="array" aca="1" ref="K8" ca="1">($E8 - _xlfn.STOCKHISTORY($A8, K$1,K$1,0,0,1))/$E8</f>
        <v>#VALUE!</v>
      </c>
      <c r="L8" s="2" t="e" cm="1" vm="3">
        <f t="array" aca="1" ref="L8" ca="1">($E8 - _xlfn.STOCKHISTORY($A8, L$1,L$1,0,0,1))/$E8</f>
        <v>#VALUE!</v>
      </c>
    </row>
    <row r="9" spans="1:12" x14ac:dyDescent="0.35">
      <c r="A9" s="5" t="e" vm="9">
        <v>#VALUE!</v>
      </c>
      <c r="B9" s="5" t="s">
        <v>1</v>
      </c>
      <c r="C9" s="5" t="str" cm="1">
        <f t="array" aca="1" ref="C9" ca="1">_FV(A9,"Ticker symbol",TRUE)</f>
        <v>CCO</v>
      </c>
      <c r="D9" s="6">
        <v>500</v>
      </c>
      <c r="E9" s="3" cm="1">
        <f t="array" aca="1" ref="E9" ca="1">_FV(A9,"Price")</f>
        <v>159.52000000000001</v>
      </c>
      <c r="F9" t="str" cm="1">
        <f t="array" aca="1" ref="F9" ca="1">_FV(A9,"Currency")</f>
        <v>CAD</v>
      </c>
      <c r="G9" s="4">
        <f t="shared" ref="G9:G10" ca="1" si="3">D9*E9</f>
        <v>79760</v>
      </c>
      <c r="H9" s="4">
        <f ca="1">IF(F9="CAD",G9,(G9*Currency!$B$2))</f>
        <v>79760</v>
      </c>
      <c r="I9" s="2" cm="1">
        <f t="array" aca="1" ref="I9" ca="1">($E9 - _xlfn.STOCKHISTORY($A9, I$1,I$1,0,0,1))/$E9</f>
        <v>6.832998996990994E-3</v>
      </c>
      <c r="J9" s="2" cm="1">
        <f t="array" aca="1" ref="J9" ca="1">($E9 - _xlfn.STOCKHISTORY($A9, J$1,J$1,0,0,1))/$E9</f>
        <v>-1.5922768304914695E-2</v>
      </c>
      <c r="K9" s="2" cm="1">
        <f t="array" aca="1" ref="K9" ca="1">($E9 - _xlfn.STOCKHISTORY($A9, K$1,K$1,0,0,1))/$E9</f>
        <v>0.2698094282848546</v>
      </c>
      <c r="L9" s="2" cm="1">
        <f t="array" aca="1" ref="L9" ca="1">($E9 - _xlfn.STOCKHISTORY($A9, L$1,L$1,0,0,1))/$E9</f>
        <v>0.57372116349047142</v>
      </c>
    </row>
    <row r="10" spans="1:12" x14ac:dyDescent="0.35">
      <c r="A10" s="5" t="e" vm="10">
        <v>#VALUE!</v>
      </c>
      <c r="B10" s="5" t="s">
        <v>1</v>
      </c>
      <c r="C10" s="5" t="str" cm="1">
        <f t="array" aca="1" ref="C10" ca="1">_FV(A10,"Ticker symbol",TRUE)</f>
        <v>NVDA</v>
      </c>
      <c r="D10" s="6">
        <v>200</v>
      </c>
      <c r="E10" s="3" cm="1">
        <f t="array" aca="1" ref="E10" ca="1">_FV(A10,"Price")</f>
        <v>187.98</v>
      </c>
      <c r="F10" t="str" cm="1">
        <f t="array" aca="1" ref="F10" ca="1">_FV(A10,"Currency")</f>
        <v>USD</v>
      </c>
      <c r="G10" s="4">
        <f t="shared" ca="1" si="3"/>
        <v>37596</v>
      </c>
      <c r="H10" s="4">
        <f ca="1">IF(F10="CAD",G10,(G10*Currency!$B$2))</f>
        <v>51438.847200000004</v>
      </c>
      <c r="I10" s="2" cm="1">
        <f t="array" aca="1" ref="I10" ca="1">($E10 - _xlfn.STOCKHISTORY($A10, I$1,I$1,0,0,1))/$E10</f>
        <v>5.5325034578146189E-3</v>
      </c>
      <c r="J10" s="2" cm="1">
        <f t="array" aca="1" ref="J10" ca="1">($E10 - _xlfn.STOCKHISTORY($A10, J$1,J$1,0,0,1))/$E10</f>
        <v>9.3095010107458239E-3</v>
      </c>
      <c r="K10" s="2" cm="1">
        <f t="array" aca="1" ref="K10" ca="1">($E10 - _xlfn.STOCKHISTORY($A10, K$1,K$1,0,0,1))/$E10</f>
        <v>3.5216512394935506E-2</v>
      </c>
      <c r="L10" s="2" cm="1">
        <f t="array" aca="1" ref="L10" ca="1">($E10 - _xlfn.STOCKHISTORY($A10, L$1,L$1,0,0,1))/$E10</f>
        <v>0.25843174805830399</v>
      </c>
    </row>
    <row r="11" spans="1:12" x14ac:dyDescent="0.35">
      <c r="A11" s="5" t="e" vm="11">
        <v>#VALUE!</v>
      </c>
      <c r="B11" s="5" t="s">
        <v>1</v>
      </c>
      <c r="C11" s="5" t="str" cm="1">
        <f t="array" aca="1" ref="C11" ca="1">_FV(A11,"Ticker symbol",TRUE)</f>
        <v>AMD</v>
      </c>
      <c r="D11" s="6">
        <v>200</v>
      </c>
      <c r="E11" s="3" cm="1">
        <f t="array" aca="1" ref="E11" ca="1">_FV(A11,"Price")</f>
        <v>200.12</v>
      </c>
      <c r="F11" t="str" cm="1">
        <f t="array" aca="1" ref="F11" ca="1">_FV(A11,"Currency")</f>
        <v>USD</v>
      </c>
      <c r="G11" s="4">
        <f t="shared" ref="G11:G14" ca="1" si="4">D11*E11</f>
        <v>40024</v>
      </c>
      <c r="H11" s="4">
        <f ca="1">IF(F11="CAD",G11,(G11*Currency!$B$2))</f>
        <v>54760.836800000005</v>
      </c>
      <c r="I11" s="2" cm="1">
        <f t="array" aca="1" ref="I11" ca="1">($E11 - _xlfn.STOCKHISTORY($A11, I$1,I$1,0,0,1))/$E11</f>
        <v>-2.9082550469718135E-2</v>
      </c>
      <c r="J11" s="2" cm="1">
        <f t="array" aca="1" ref="J11" ca="1">($E11 - _xlfn.STOCKHISTORY($A11, J$1,J$1,0,0,1))/$E11</f>
        <v>-0.15845492704377379</v>
      </c>
      <c r="K11" s="2" cm="1">
        <f t="array" aca="1" ref="K11" ca="1">($E11 - _xlfn.STOCKHISTORY($A11, K$1,K$1,0,0,1))/$E11</f>
        <v>-0.15075954427343588</v>
      </c>
      <c r="L11" s="2" cm="1">
        <f t="array" aca="1" ref="L11" ca="1">($E11 - _xlfn.STOCKHISTORY($A11, L$1,L$1,0,0,1))/$E11</f>
        <v>0.42894263441934838</v>
      </c>
    </row>
    <row r="12" spans="1:12" x14ac:dyDescent="0.35">
      <c r="A12" s="5" t="e" vm="12">
        <v>#VALUE!</v>
      </c>
      <c r="B12" s="5" t="s">
        <v>1</v>
      </c>
      <c r="C12" s="5" t="str" cm="1">
        <f t="array" aca="1" ref="C12" ca="1">_FV(A12,"Ticker symbol",TRUE)</f>
        <v>GOOG</v>
      </c>
      <c r="D12" s="6">
        <v>150</v>
      </c>
      <c r="E12" s="3" cm="1">
        <f t="array" aca="1" ref="E12" ca="1">_FV(A12,"Price")</f>
        <v>303.94</v>
      </c>
      <c r="F12" t="str" cm="1">
        <f t="array" aca="1" ref="F12" ca="1">_FV(A12,"Currency")</f>
        <v>USD</v>
      </c>
      <c r="G12" s="4">
        <f t="shared" ref="G12:G13" ca="1" si="5">D12*E12</f>
        <v>45591</v>
      </c>
      <c r="H12" s="4">
        <f ca="1">IF(F12="CAD",G12,(G12*Currency!$B$2))</f>
        <v>62377.606200000002</v>
      </c>
      <c r="I12" s="2" cm="1">
        <f t="array" aca="1" ref="I12" ca="1">($E12 - _xlfn.STOCKHISTORY($A12, I$1,I$1,0,0,1))/$E12</f>
        <v>-1.7865368164769385E-2</v>
      </c>
      <c r="J12" s="2" cm="1">
        <f t="array" aca="1" ref="J12" ca="1">($E12 - _xlfn.STOCKHISTORY($A12, J$1,J$1,0,0,1))/$E12</f>
        <v>-8.6859248535895162E-2</v>
      </c>
      <c r="K12" s="2" cm="1">
        <f t="array" aca="1" ref="K12" ca="1">($E12 - _xlfn.STOCKHISTORY($A12, K$1,K$1,0,0,1))/$E12</f>
        <v>6.2446535500427773E-2</v>
      </c>
      <c r="L12" s="2" t="e" cm="1" vm="3">
        <f t="array" aca="1" ref="L12" ca="1">($E12 - _xlfn.STOCKHISTORY($A12, L$1,L$1,0,0,1))/$E12</f>
        <v>#VALUE!</v>
      </c>
    </row>
    <row r="13" spans="1:12" x14ac:dyDescent="0.35">
      <c r="A13" s="5" t="e" vm="13">
        <v>#VALUE!</v>
      </c>
      <c r="B13" s="5" t="s">
        <v>1</v>
      </c>
      <c r="C13" s="5" t="str" cm="1">
        <f t="array" aca="1" ref="C13" ca="1">_FV(A13,"Ticker symbol",TRUE)</f>
        <v>XOM</v>
      </c>
      <c r="D13" s="6">
        <v>200</v>
      </c>
      <c r="E13" s="3" cm="1">
        <f t="array" aca="1" ref="E13" ca="1">_FV(A13,"Price")</f>
        <v>150.68</v>
      </c>
      <c r="F13" t="str" cm="1">
        <f t="array" aca="1" ref="F13" ca="1">_FV(A13,"Currency")</f>
        <v>USD</v>
      </c>
      <c r="G13" s="4">
        <f t="shared" ca="1" si="5"/>
        <v>30136</v>
      </c>
      <c r="H13" s="4">
        <f ca="1">IF(F13="CAD",G13,(G13*Currency!$B$2))</f>
        <v>41232.075199999999</v>
      </c>
      <c r="I13" s="2" cm="1">
        <f t="array" aca="1" ref="I13" ca="1">($E13 - _xlfn.STOCKHISTORY($A13, I$1,I$1,0,0,1))/$E13</f>
        <v>4.9774356251659144E-3</v>
      </c>
      <c r="J13" s="2" cm="1">
        <f t="array" aca="1" ref="J13" ca="1">($E13 - _xlfn.STOCKHISTORY($A13, J$1,J$1,0,0,1))/$E13</f>
        <v>0.13797451552959927</v>
      </c>
      <c r="K13" s="2" cm="1">
        <f t="array" aca="1" ref="K13" ca="1">($E13 - _xlfn.STOCKHISTORY($A13, K$1,K$1,0,0,1))/$E13</f>
        <v>0.21004778338200161</v>
      </c>
      <c r="L13" s="2" cm="1">
        <f t="array" aca="1" ref="L13" ca="1">($E13 - _xlfn.STOCKHISTORY($A13, L$1,L$1,0,0,1))/$E13</f>
        <v>0.26904698699230162</v>
      </c>
    </row>
    <row r="14" spans="1:12" x14ac:dyDescent="0.35">
      <c r="A14" s="5" t="e" vm="14">
        <v>#VALUE!</v>
      </c>
      <c r="B14" s="5" t="s">
        <v>1</v>
      </c>
      <c r="C14" s="5" t="str" cm="1">
        <f t="array" aca="1" ref="C14" ca="1">_FV(A14,"Ticker symbol",TRUE)</f>
        <v>CVX</v>
      </c>
      <c r="D14" s="6">
        <v>200</v>
      </c>
      <c r="E14" s="3" cm="1">
        <f t="array" aca="1" ref="E14" ca="1">_FV(A14,"Price")</f>
        <v>183.87</v>
      </c>
      <c r="F14" t="str" cm="1">
        <f t="array" aca="1" ref="F14" ca="1">_FV(A14,"Currency")</f>
        <v>USD</v>
      </c>
      <c r="G14" s="4">
        <f t="shared" ca="1" si="4"/>
        <v>36774</v>
      </c>
      <c r="H14" s="4">
        <f ca="1">IF(F14="CAD",G14,(G14*Currency!$B$2))</f>
        <v>50314.186800000003</v>
      </c>
      <c r="I14" s="2" cm="1">
        <f t="array" aca="1" ref="I14" ca="1">($E14 - _xlfn.STOCKHISTORY($A14, I$1,I$1,0,0,1))/$E14</f>
        <v>7.9947789198890461E-3</v>
      </c>
      <c r="J14" s="2" cm="1">
        <f t="array" aca="1" ref="J14" ca="1">($E14 - _xlfn.STOCKHISTORY($A14, J$1,J$1,0,0,1))/$E14</f>
        <v>9.5774188285201567E-2</v>
      </c>
      <c r="K14" s="2" cm="1">
        <f t="array" aca="1" ref="K14" ca="1">($E14 - _xlfn.STOCKHISTORY($A14, K$1,K$1,0,0,1))/$E14</f>
        <v>0.1645184097460162</v>
      </c>
      <c r="L14" s="2" cm="1">
        <f t="array" aca="1" ref="L14" ca="1">($E14 - _xlfn.STOCKHISTORY($A14, L$1,L$1,0,0,1))/$E14</f>
        <v>0.15070430195246645</v>
      </c>
    </row>
    <row r="15" spans="1:12" x14ac:dyDescent="0.35">
      <c r="A15" s="5" t="e" vm="15">
        <v>#VALUE!</v>
      </c>
      <c r="B15" s="5" t="s">
        <v>24</v>
      </c>
      <c r="C15" s="5" t="str" cm="1">
        <f t="array" aca="1" ref="C15" ca="1">_FV(A15,"Ticker symbol",TRUE)</f>
        <v>IBIT</v>
      </c>
      <c r="D15" s="6">
        <v>1000</v>
      </c>
      <c r="E15" s="3" cm="1">
        <f t="array" aca="1" ref="E15" ca="1">_FV(A15,"Price")</f>
        <v>37.54</v>
      </c>
      <c r="F15" t="str" cm="1">
        <f t="array" aca="1" ref="F15" ca="1">_FV(A15,"Currency")</f>
        <v>USD</v>
      </c>
      <c r="G15" s="4">
        <f t="shared" ref="G15:G16" ca="1" si="6">D15*E15</f>
        <v>37540</v>
      </c>
      <c r="H15" s="4">
        <f ca="1">IF(F15="CAD",G15,(G15*Currency!$B$2))</f>
        <v>51362.228000000003</v>
      </c>
      <c r="I15" s="2" cm="1">
        <f t="array" aca="1" ref="I15" ca="1">($E15 - _xlfn.STOCKHISTORY($A15, I$1,I$1,0,0,1))/$E15</f>
        <v>1.3052743740010709E-2</v>
      </c>
      <c r="J15" s="2" cm="1">
        <f t="array" aca="1" ref="J15" ca="1">($E15 - _xlfn.STOCKHISTORY($A15, J$1,J$1,0,0,1))/$E15</f>
        <v>-0.44485881726158771</v>
      </c>
      <c r="K15" s="2" t="e" cm="1" vm="3">
        <f t="array" aca="1" ref="K15" ca="1">($E15 - _xlfn.STOCKHISTORY($A15, K$1,K$1,0,0,1))/$E15</f>
        <v>#VALUE!</v>
      </c>
      <c r="L15" s="2" cm="1">
        <f t="array" aca="1" ref="L15" ca="1">($E15 - _xlfn.STOCKHISTORY($A15, L$1,L$1,0,0,1))/$E15</f>
        <v>-0.42541289291422479</v>
      </c>
    </row>
    <row r="16" spans="1:12" x14ac:dyDescent="0.35">
      <c r="A16" s="5" t="e" vm="16">
        <v>#VALUE!</v>
      </c>
      <c r="B16" s="5" t="s">
        <v>24</v>
      </c>
      <c r="C16" s="5" t="str" cm="1">
        <f t="array" aca="1" ref="C16" ca="1">_FV(A16,"Ticker symbol",TRUE)</f>
        <v>ETHA</v>
      </c>
      <c r="D16" s="6">
        <v>500</v>
      </c>
      <c r="E16" s="3" cm="1">
        <f t="array" aca="1" ref="E16" ca="1">_FV(A16,"Price")</f>
        <v>14.63</v>
      </c>
      <c r="F16" t="str" cm="1">
        <f t="array" aca="1" ref="F16" ca="1">_FV(A16,"Currency")</f>
        <v>USD</v>
      </c>
      <c r="G16" s="4">
        <f t="shared" ca="1" si="6"/>
        <v>7315</v>
      </c>
      <c r="H16" s="4">
        <f ca="1">IF(F16="CAD",G16,(G16*Currency!$B$2))</f>
        <v>10008.383</v>
      </c>
      <c r="I16" s="2" cm="1">
        <f t="array" aca="1" ref="I16" ca="1">($E16 - _xlfn.STOCKHISTORY($A16, I$1,I$1,0,0,1))/$E16</f>
        <v>1.1619958988380035E-2</v>
      </c>
      <c r="J16" s="2" cm="1">
        <f t="array" aca="1" ref="J16" ca="1">($E16 - _xlfn.STOCKHISTORY($A16, J$1,J$1,0,0,1))/$E16</f>
        <v>-0.70061517429938469</v>
      </c>
      <c r="K16" s="2" cm="1">
        <f t="array" aca="1" ref="K16" ca="1">($E16 - _xlfn.STOCKHISTORY($A16, K$1,K$1,0,0,1))/$E16</f>
        <v>-0.61244019138755967</v>
      </c>
      <c r="L16" s="2" cm="1">
        <f t="array" aca="1" ref="L16" ca="1">($E16 - _xlfn.STOCKHISTORY($A16, L$1,L$1,0,0,1))/$E16</f>
        <v>-0.36021872863978111</v>
      </c>
    </row>
    <row r="17" spans="2:8" x14ac:dyDescent="0.35">
      <c r="B17" s="5" t="s">
        <v>1</v>
      </c>
      <c r="C17" t="s">
        <v>0</v>
      </c>
      <c r="D17" s="6">
        <v>500</v>
      </c>
      <c r="E17" s="6">
        <v>1</v>
      </c>
      <c r="F17" s="5" t="s">
        <v>13</v>
      </c>
      <c r="G17" s="4">
        <f>D17*E17</f>
        <v>500</v>
      </c>
      <c r="H17" s="4">
        <f>IF(F17="CAD",G17,(G17*Currency!$B$2))</f>
        <v>500</v>
      </c>
    </row>
    <row r="18" spans="2:8" x14ac:dyDescent="0.35">
      <c r="B18" s="5" t="s">
        <v>1</v>
      </c>
      <c r="C18" t="s">
        <v>0</v>
      </c>
      <c r="D18" s="6">
        <v>3000</v>
      </c>
      <c r="E18" s="6">
        <v>1</v>
      </c>
      <c r="F18" s="5" t="s">
        <v>14</v>
      </c>
      <c r="G18" s="4">
        <f>D18*E18</f>
        <v>3000</v>
      </c>
      <c r="H18" s="4">
        <f ca="1">IF(F18="CAD",G18,(G18*Currency!$B$2))</f>
        <v>4104.6000000000004</v>
      </c>
    </row>
    <row r="19" spans="2:8" ht="13.5" customHeight="1" x14ac:dyDescent="0.35">
      <c r="B19" s="5" t="s">
        <v>24</v>
      </c>
      <c r="C19" t="s">
        <v>0</v>
      </c>
      <c r="D19" s="6">
        <v>2000</v>
      </c>
      <c r="E19" s="6">
        <v>1</v>
      </c>
      <c r="F19" s="5" t="s">
        <v>13</v>
      </c>
      <c r="G19" s="4">
        <f t="shared" ref="G19:G20" si="7">D19*E19</f>
        <v>2000</v>
      </c>
      <c r="H19" s="4">
        <f>IF(F19="CAD",G19,(G19*Currency!$B$2))</f>
        <v>2000</v>
      </c>
    </row>
    <row r="20" spans="2:8" ht="15" customHeight="1" x14ac:dyDescent="0.35">
      <c r="B20" s="5" t="s">
        <v>24</v>
      </c>
      <c r="C20" t="s">
        <v>0</v>
      </c>
      <c r="D20" s="6">
        <v>0</v>
      </c>
      <c r="E20" s="6">
        <v>1</v>
      </c>
      <c r="F20" s="5" t="s">
        <v>14</v>
      </c>
      <c r="G20" s="4">
        <f t="shared" si="7"/>
        <v>0</v>
      </c>
      <c r="H20" s="4">
        <f ca="1">IF(F20="CAD",G20,(G20*Currency!$B$2))</f>
        <v>0</v>
      </c>
    </row>
    <row r="21" spans="2:8" x14ac:dyDescent="0.35">
      <c r="H21" s="4">
        <f ca="1">SUM(H2:H20)</f>
        <v>999036.89462000004</v>
      </c>
    </row>
  </sheetData>
  <autoFilter ref="A1:H1" xr:uid="{F744BD81-6DB1-4B58-AD9D-937BA1F33E86}"/>
  <conditionalFormatting sqref="I2:I1048576">
    <cfRule type="colorScale" priority="203">
      <colorScale>
        <cfvo type="min"/>
        <cfvo type="percentile" val="50"/>
        <cfvo type="max"/>
        <color rgb="FFF8696B"/>
        <color rgb="FFFCFCFF"/>
        <color rgb="FF63BE7B"/>
      </colorScale>
    </cfRule>
  </conditionalFormatting>
  <conditionalFormatting sqref="J2:J1048576">
    <cfRule type="colorScale" priority="205">
      <colorScale>
        <cfvo type="min"/>
        <cfvo type="percentile" val="50"/>
        <cfvo type="max"/>
        <color rgb="FFF8696B"/>
        <color rgb="FFFCFCFF"/>
        <color rgb="FF63BE7B"/>
      </colorScale>
    </cfRule>
  </conditionalFormatting>
  <conditionalFormatting sqref="K2:K16">
    <cfRule type="colorScale" priority="2048">
      <colorScale>
        <cfvo type="min"/>
        <cfvo type="percentile" val="50"/>
        <cfvo type="max"/>
        <color rgb="FFF8696B"/>
        <color rgb="FFFCFCFF"/>
        <color rgb="FF63BE7B"/>
      </colorScale>
    </cfRule>
  </conditionalFormatting>
  <conditionalFormatting sqref="L2:L16">
    <cfRule type="colorScale" priority="2049">
      <colorScale>
        <cfvo type="min"/>
        <cfvo type="percentile" val="50"/>
        <cfvo type="max"/>
        <color rgb="FFF8696B"/>
        <color rgb="FFFCFCFF"/>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FC6BD-ED3D-4F37-BFAD-510201363D33}">
  <dimension ref="A1:R17"/>
  <sheetViews>
    <sheetView tabSelected="1" workbookViewId="0">
      <pane ySplit="1" topLeftCell="A2" activePane="bottomLeft" state="frozen"/>
      <selection pane="bottomLeft" activeCell="C23" sqref="C23"/>
    </sheetView>
  </sheetViews>
  <sheetFormatPr defaultRowHeight="14.5" x14ac:dyDescent="0.35"/>
  <cols>
    <col min="1" max="1" width="43.54296875" customWidth="1"/>
    <col min="2" max="2" width="7.54296875" bestFit="1" customWidth="1"/>
    <col min="3" max="3" width="10.54296875" customWidth="1"/>
    <col min="4" max="4" width="10.26953125" customWidth="1"/>
    <col min="5" max="5" width="5.1796875" customWidth="1"/>
    <col min="6" max="6" width="5.453125" bestFit="1" customWidth="1"/>
    <col min="7" max="7" width="7.1796875" customWidth="1"/>
    <col min="8" max="8" width="8.54296875" customWidth="1"/>
    <col min="9" max="9" width="8" customWidth="1"/>
    <col min="10" max="10" width="9.1796875" style="9" customWidth="1"/>
    <col min="11" max="11" width="10.453125" style="9" customWidth="1"/>
    <col min="13" max="13" width="10.81640625" style="9" customWidth="1"/>
    <col min="14" max="14" width="11" style="9" customWidth="1"/>
    <col min="15" max="15" width="11.81640625" style="2" bestFit="1" customWidth="1"/>
    <col min="16" max="17" width="10.81640625" customWidth="1"/>
    <col min="18" max="18" width="11.1796875" customWidth="1"/>
  </cols>
  <sheetData>
    <row r="1" spans="1:18" x14ac:dyDescent="0.35">
      <c r="A1" t="s">
        <v>5</v>
      </c>
      <c r="B1" t="s">
        <v>6</v>
      </c>
      <c r="C1" t="s">
        <v>7</v>
      </c>
      <c r="D1" t="s">
        <v>15</v>
      </c>
      <c r="E1" t="s">
        <v>2</v>
      </c>
      <c r="F1" t="s">
        <v>16</v>
      </c>
      <c r="G1" t="s">
        <v>8</v>
      </c>
      <c r="H1" s="3" t="s">
        <v>9</v>
      </c>
      <c r="I1" t="s">
        <v>10</v>
      </c>
      <c r="J1" s="9" t="s">
        <v>17</v>
      </c>
      <c r="K1" s="9" t="s">
        <v>18</v>
      </c>
      <c r="L1" t="s">
        <v>19</v>
      </c>
      <c r="M1" s="9" t="s">
        <v>22</v>
      </c>
      <c r="N1" s="9" t="s">
        <v>21</v>
      </c>
      <c r="O1" s="8">
        <f ca="1">WORKDAY(TODAY(),-5)</f>
        <v>46065</v>
      </c>
      <c r="P1" s="8">
        <f ca="1">WORKDAY(EDATE(TODAY(),-1),-1)</f>
        <v>46038</v>
      </c>
      <c r="Q1" s="8">
        <f ca="1">WORKDAY(EDATE(TODAY(),-3),-1)</f>
        <v>45979</v>
      </c>
      <c r="R1" s="8">
        <f ca="1">WORKDAY(EDATE(TODAY(),-12),-1)</f>
        <v>45706</v>
      </c>
    </row>
    <row r="2" spans="1:18" x14ac:dyDescent="0.35">
      <c r="A2" s="5" t="e" vm="17">
        <v>#VALUE!</v>
      </c>
      <c r="B2" s="5" t="s">
        <v>1</v>
      </c>
      <c r="C2" s="5" t="str" cm="1">
        <f t="array" aca="1" ref="C2" ca="1">_FV(A2,"Ticker symbol",TRUE)</f>
        <v>FCX</v>
      </c>
      <c r="D2" s="7">
        <v>46191</v>
      </c>
      <c r="E2" t="s">
        <v>3</v>
      </c>
      <c r="F2">
        <v>40</v>
      </c>
      <c r="G2">
        <v>-5000</v>
      </c>
      <c r="H2" s="3" cm="1">
        <f t="array" aca="1" ref="H2" ca="1">_FV(A2,"Price")</f>
        <v>62.55</v>
      </c>
      <c r="I2" t="str" cm="1">
        <f t="array" aca="1" ref="I2" ca="1">_FV(A2,"Currency")</f>
        <v>USD</v>
      </c>
      <c r="J2" s="9">
        <f ca="1">IF(E2="PUT",IF((H2-F2)&lt;0,(F2-H2)*G2,0),IF((H2-F2)&gt;0,(H2-F2)*G2,0))</f>
        <v>0</v>
      </c>
      <c r="K2" s="9">
        <f ca="1">IF(I2="CAD",J2,(J2*Currency!$B$2))</f>
        <v>0</v>
      </c>
      <c r="L2" s="5">
        <v>36</v>
      </c>
      <c r="M2" s="9">
        <f>L2*-G2</f>
        <v>180000</v>
      </c>
      <c r="N2" s="9">
        <f ca="1">IF(I2="CAD",M2,(M2*Currency!$B$2))</f>
        <v>246276.00000000003</v>
      </c>
      <c r="O2" s="2" t="e" cm="1" vm="3">
        <f t="array" aca="1" ref="O2" ca="1">($H2 - _xlfn.STOCKHISTORY($A2, O$1,O$1,0,0,1))/$H2</f>
        <v>#VALUE!</v>
      </c>
      <c r="P2" s="2" cm="1">
        <f t="array" aca="1" ref="P2" ca="1">(H2 - _xlfn.STOCKHISTORY($A2, P$1,P$1,0,0,1))/$H2</f>
        <v>6.1390887290167812E-2</v>
      </c>
      <c r="Q2" s="2" cm="1">
        <f t="array" aca="1" ref="Q2" ca="1">($H2 - _xlfn.STOCKHISTORY($A2, Q$1,Q$1,0,0,1))/$H2</f>
        <v>0.36051159072741806</v>
      </c>
      <c r="R2" s="2" cm="1">
        <f t="array" aca="1" ref="R2" ca="1">($H2 - _xlfn.STOCKHISTORY($A2, R$1,R$1,0,0,1))/$H2</f>
        <v>0.37170263788968827</v>
      </c>
    </row>
    <row r="3" spans="1:18" x14ac:dyDescent="0.35">
      <c r="A3" s="5" t="e" vm="17">
        <v>#VALUE!</v>
      </c>
      <c r="B3" s="5" t="s">
        <v>1</v>
      </c>
      <c r="C3" s="5" t="str" cm="1">
        <f t="array" aca="1" ref="C3" ca="1">_FV(A3,"Ticker symbol",TRUE)</f>
        <v>FCX</v>
      </c>
      <c r="D3" s="7">
        <v>46191</v>
      </c>
      <c r="E3" t="s">
        <v>3</v>
      </c>
      <c r="F3">
        <v>45</v>
      </c>
      <c r="G3">
        <v>2000</v>
      </c>
      <c r="H3" s="3" cm="1">
        <f t="array" aca="1" ref="H3" ca="1">_FV(A3,"Price")</f>
        <v>62.55</v>
      </c>
      <c r="I3" t="str" cm="1">
        <f t="array" aca="1" ref="I3" ca="1">_FV(A3,"Currency")</f>
        <v>USD</v>
      </c>
      <c r="J3" s="9">
        <f ca="1">IF(E3="PUT",IF((H3-F3)&lt;0,(F3-H3)*G3,0),IF((H3-F3)&gt;0,(H3-F3)*G3,0))</f>
        <v>0</v>
      </c>
      <c r="K3" s="9">
        <f ca="1">IF(I3="CAD",J3,(J3*Currency!$B$2))</f>
        <v>0</v>
      </c>
      <c r="L3" s="5">
        <f>IF(E3="PUT",IF(G3&lt;0,-F3*G3,0),0)</f>
        <v>0</v>
      </c>
      <c r="M3" s="9">
        <f>L3*-G3</f>
        <v>0</v>
      </c>
      <c r="N3" s="9">
        <f ca="1">IF(I3="CAD",M3,(M3*Currency!$B$2))</f>
        <v>0</v>
      </c>
      <c r="O3" s="2" t="e" cm="1" vm="3">
        <f t="array" aca="1" ref="O3" ca="1">($H3 - _xlfn.STOCKHISTORY($A3, O$1,O$1,0,0,1))/$H3</f>
        <v>#VALUE!</v>
      </c>
      <c r="P3" s="2" cm="1">
        <f t="array" aca="1" ref="P3" ca="1">(H3 - _xlfn.STOCKHISTORY($A3, P$1,P$1,0,0,1))/$H3</f>
        <v>6.1390887290167812E-2</v>
      </c>
      <c r="Q3" s="2" cm="1">
        <f t="array" aca="1" ref="Q3" ca="1">($H3 - _xlfn.STOCKHISTORY($A3, Q$1,Q$1,0,0,1))/$H3</f>
        <v>0.36051159072741806</v>
      </c>
      <c r="R3" s="2" cm="1">
        <f t="array" aca="1" ref="R3" ca="1">($H3 - _xlfn.STOCKHISTORY($A3, R$1,R$1,0,0,1))/$H3</f>
        <v>0.37170263788968827</v>
      </c>
    </row>
    <row r="4" spans="1:18" x14ac:dyDescent="0.35">
      <c r="A4" s="5" t="e" vm="18">
        <v>#VALUE!</v>
      </c>
      <c r="B4" s="5" t="s">
        <v>1</v>
      </c>
      <c r="C4" s="5" t="str" cm="1">
        <f t="array" aca="1" ref="C4" ca="1">_FV(A4,"Ticker symbol",TRUE)</f>
        <v>HL</v>
      </c>
      <c r="D4" s="7">
        <v>46191</v>
      </c>
      <c r="E4" t="s">
        <v>3</v>
      </c>
      <c r="F4">
        <v>22</v>
      </c>
      <c r="G4">
        <v>-5000</v>
      </c>
      <c r="H4" s="3" cm="1">
        <f t="array" aca="1" ref="H4" ca="1">_FV(A4,"Price")</f>
        <v>22.02</v>
      </c>
      <c r="I4" t="str" cm="1">
        <f t="array" aca="1" ref="I4" ca="1">_FV(A4,"Currency")</f>
        <v>USD</v>
      </c>
      <c r="J4" s="9">
        <f ca="1">IF(E4="PUT",IF((H4-F4)&lt;0,(F4-H4)*G4,0),IF((H4-F4)&gt;0,(H4-F4)*G4,0))</f>
        <v>0</v>
      </c>
      <c r="K4" s="9">
        <f ca="1">IF(I4="CAD",J4,(J4*Currency!$B$2))</f>
        <v>0</v>
      </c>
      <c r="L4" s="5">
        <v>18</v>
      </c>
      <c r="M4" s="9">
        <f>L4*-G4</f>
        <v>90000</v>
      </c>
      <c r="N4" s="9">
        <f ca="1">IF(I4="CAD",M4,(M4*Currency!$B$2))</f>
        <v>123138.00000000001</v>
      </c>
      <c r="O4" s="2" cm="1">
        <f t="array" aca="1" ref="O4" ca="1">($H4 - _xlfn.STOCKHISTORY($A4, O$1,O$1,0,0,1))/$H4</f>
        <v>5.1316984559491324E-2</v>
      </c>
      <c r="P4" s="2" cm="1">
        <f t="array" aca="1" ref="P4" ca="1">(H4 - _xlfn.STOCKHISTORY($A4, P$1,P$1,0,0,1))/$H4</f>
        <v>-0.20526793823796546</v>
      </c>
      <c r="Q4" s="2" cm="1">
        <f t="array" aca="1" ref="Q4" ca="1">($H4 - _xlfn.STOCKHISTORY($A4, Q$1,Q$1,0,0,1))/$H4</f>
        <v>0.36148955495004537</v>
      </c>
      <c r="R4" s="2" cm="1">
        <f t="array" aca="1" ref="R4" ca="1">($H4 - _xlfn.STOCKHISTORY($A4, R$1,R$1,0,0,1))/$H4</f>
        <v>0.74750227066303365</v>
      </c>
    </row>
    <row r="5" spans="1:18" x14ac:dyDescent="0.35">
      <c r="A5" s="5" t="e" vm="18">
        <v>#VALUE!</v>
      </c>
      <c r="B5" s="5" t="s">
        <v>1</v>
      </c>
      <c r="C5" s="5" t="str" cm="1">
        <f t="array" aca="1" ref="C5" ca="1">_FV(A5,"Ticker symbol",TRUE)</f>
        <v>HL</v>
      </c>
      <c r="D5" s="7">
        <v>46191</v>
      </c>
      <c r="E5" t="s">
        <v>3</v>
      </c>
      <c r="F5">
        <v>28</v>
      </c>
      <c r="G5">
        <v>2500</v>
      </c>
      <c r="H5" s="3" cm="1">
        <f t="array" aca="1" ref="H5" ca="1">_FV(A5,"Price")</f>
        <v>22.02</v>
      </c>
      <c r="I5" t="str" cm="1">
        <f t="array" aca="1" ref="I5" ca="1">_FV(A5,"Currency")</f>
        <v>USD</v>
      </c>
      <c r="J5" s="9">
        <f ca="1">IF(E5="PUT",IF((H5-F5)&lt;0,(F5-H5)*G5,0),IF((H5-F5)&gt;0,(H5-F5)*G5,0))</f>
        <v>14950.000000000002</v>
      </c>
      <c r="K5" s="9">
        <f ca="1">IF(I5="CAD",J5,(J5*Currency!$B$2))</f>
        <v>20454.590000000004</v>
      </c>
      <c r="L5" s="5">
        <f>IF(E5="PUT",IF(G5&lt;0,-F5*G5,0),0)</f>
        <v>0</v>
      </c>
      <c r="M5" s="9">
        <f>L5*-G5</f>
        <v>0</v>
      </c>
      <c r="N5" s="9">
        <f ca="1">IF(I5="CAD",M5,(M5*Currency!$B$2))</f>
        <v>0</v>
      </c>
      <c r="O5" s="2" cm="1">
        <f t="array" aca="1" ref="O5" ca="1">($H5 - _xlfn.STOCKHISTORY($A5, O$1,O$1,0,0,1))/$H5</f>
        <v>5.1316984559491324E-2</v>
      </c>
      <c r="P5" s="2" cm="1">
        <f t="array" aca="1" ref="P5" ca="1">(H5 - _xlfn.STOCKHISTORY($A5, P$1,P$1,0,0,1))/$H5</f>
        <v>-0.20526793823796546</v>
      </c>
      <c r="Q5" s="2" cm="1">
        <f t="array" aca="1" ref="Q5" ca="1">($H5 - _xlfn.STOCKHISTORY($A5, Q$1,Q$1,0,0,1))/$H5</f>
        <v>0.36148955495004537</v>
      </c>
      <c r="R5" s="2" cm="1">
        <f t="array" aca="1" ref="R5" ca="1">($H5 - _xlfn.STOCKHISTORY($A5, R$1,R$1,0,0,1))/$H5</f>
        <v>0.74750227066303365</v>
      </c>
    </row>
    <row r="6" spans="1:18" x14ac:dyDescent="0.35">
      <c r="A6" s="5" t="e" vm="19">
        <v>#VALUE!</v>
      </c>
      <c r="B6" s="5" t="s">
        <v>1</v>
      </c>
      <c r="C6" s="5" t="str" cm="1">
        <f t="array" aca="1" ref="C6" ca="1">_FV(A6,"Ticker symbol",TRUE)</f>
        <v>SLV</v>
      </c>
      <c r="D6" s="7">
        <v>46129</v>
      </c>
      <c r="E6" t="s">
        <v>3</v>
      </c>
      <c r="F6">
        <v>63</v>
      </c>
      <c r="G6">
        <v>-5000</v>
      </c>
      <c r="H6" s="3" cm="1">
        <f t="array" aca="1" ref="H6" ca="1">_FV(A6,"Price")</f>
        <v>70.09</v>
      </c>
      <c r="I6" t="str" cm="1">
        <f t="array" aca="1" ref="I6" ca="1">_FV(A6,"Currency")</f>
        <v>USD</v>
      </c>
      <c r="J6" s="9">
        <f ca="1">IF(E6="PUT",IF((H6-F6)&lt;0,(F6-H6)*G6,0),IF((H6-F6)&gt;0,(H6-F6)*G6,0))</f>
        <v>0</v>
      </c>
      <c r="K6" s="9">
        <f ca="1">IF(I6="CAD",J6,(J6*Currency!$B$2))</f>
        <v>0</v>
      </c>
      <c r="L6" s="5">
        <v>55.5</v>
      </c>
      <c r="M6" s="9">
        <f>L6*-G6</f>
        <v>277500</v>
      </c>
      <c r="N6" s="9">
        <f ca="1">IF(I6="CAD",M6,(M6*Currency!$B$2))</f>
        <v>379675.5</v>
      </c>
      <c r="O6" s="2" t="e" cm="1" vm="3">
        <f t="array" aca="1" ref="O6" ca="1">($H6 - _xlfn.STOCKHISTORY($A6, O$1,O$1,0,0,1))/$H6</f>
        <v>#VALUE!</v>
      </c>
      <c r="P6" s="2" cm="1">
        <f t="array" aca="1" ref="P6" ca="1">(H6 - _xlfn.STOCKHISTORY($A6, P$1,P$1,0,0,1))/$H6</f>
        <v>-0.15594235982308449</v>
      </c>
      <c r="Q6" s="2" cm="1">
        <f t="array" aca="1" ref="Q6" ca="1">($H6 - _xlfn.STOCKHISTORY($A6, Q$1,Q$1,0,0,1))/$H6</f>
        <v>0.34227421886146386</v>
      </c>
      <c r="R6" s="2" t="e" cm="1" vm="3">
        <f t="array" aca="1" ref="R6" ca="1">($H6 - _xlfn.STOCKHISTORY($A6, R$1,R$1,0,0,1))/$H6</f>
        <v>#VALUE!</v>
      </c>
    </row>
    <row r="7" spans="1:18" x14ac:dyDescent="0.35">
      <c r="A7" s="5" t="e" vm="19">
        <v>#VALUE!</v>
      </c>
      <c r="B7" s="5" t="s">
        <v>1</v>
      </c>
      <c r="C7" s="5" t="str" cm="1">
        <f t="array" aca="1" ref="C7" ca="1">_FV(A7,"Ticker symbol",TRUE)</f>
        <v>SLV</v>
      </c>
      <c r="D7" s="7">
        <v>46129</v>
      </c>
      <c r="E7" t="s">
        <v>3</v>
      </c>
      <c r="F7">
        <v>70.5</v>
      </c>
      <c r="G7">
        <v>2500</v>
      </c>
      <c r="H7" s="3" cm="1">
        <f t="array" aca="1" ref="H7" ca="1">_FV(A7,"Price")</f>
        <v>70.09</v>
      </c>
      <c r="I7" t="str" cm="1">
        <f t="array" aca="1" ref="I7" ca="1">_FV(A7,"Currency")</f>
        <v>USD</v>
      </c>
      <c r="J7" s="9">
        <f ca="1">IF(E7="PUT",IF((H7-F7)&lt;0,(F7-H7)*G7,0),IF((H7-F7)&gt;0,(H7-F7)*G7,0))</f>
        <v>1024.9999999999914</v>
      </c>
      <c r="K7" s="9">
        <f ca="1">IF(I7="CAD",J7,(J7*Currency!$B$2))</f>
        <v>1402.4049999999884</v>
      </c>
      <c r="L7" s="5">
        <v>0</v>
      </c>
      <c r="M7" s="9">
        <f>L7*-G7</f>
        <v>0</v>
      </c>
      <c r="N7" s="9">
        <f ca="1">IF(I7="CAD",M7,(M7*Currency!$B$2))</f>
        <v>0</v>
      </c>
      <c r="O7" s="2" t="e" cm="1" vm="3">
        <f t="array" aca="1" ref="O7" ca="1">($H7 - _xlfn.STOCKHISTORY($A7, O$1,O$1,0,0,1))/$H7</f>
        <v>#VALUE!</v>
      </c>
      <c r="P7" s="2" cm="1">
        <f t="array" aca="1" ref="P7" ca="1">(H7 - _xlfn.STOCKHISTORY($A7, P$1,P$1,0,0,1))/$H7</f>
        <v>-0.15594235982308449</v>
      </c>
      <c r="Q7" s="2" cm="1">
        <f t="array" aca="1" ref="Q7" ca="1">($H7 - _xlfn.STOCKHISTORY($A7, Q$1,Q$1,0,0,1))/$H7</f>
        <v>0.34227421886146386</v>
      </c>
      <c r="R7" s="2" t="e" cm="1" vm="3">
        <f t="array" aca="1" ref="R7" ca="1">($H7 - _xlfn.STOCKHISTORY($A7, R$1,R$1,0,0,1))/$H7</f>
        <v>#VALUE!</v>
      </c>
    </row>
    <row r="8" spans="1:18" x14ac:dyDescent="0.35">
      <c r="A8" s="5" t="e" vm="20">
        <v>#VALUE!</v>
      </c>
      <c r="B8" s="5" t="s">
        <v>1</v>
      </c>
      <c r="C8" s="5" t="str" cm="1">
        <f t="array" aca="1" ref="C8" ca="1">_FV(A8,"Ticker symbol",TRUE)</f>
        <v>AAPL</v>
      </c>
      <c r="D8" s="7">
        <v>46402</v>
      </c>
      <c r="E8" t="s">
        <v>3</v>
      </c>
      <c r="F8">
        <v>150</v>
      </c>
      <c r="G8">
        <v>1200</v>
      </c>
      <c r="H8" s="3" cm="1">
        <f t="array" aca="1" ref="H8" ca="1">_FV(A8,"Price")</f>
        <v>264.35000000000002</v>
      </c>
      <c r="I8" t="str" cm="1">
        <f t="array" aca="1" ref="I8" ca="1">_FV(A8,"Currency")</f>
        <v>USD</v>
      </c>
      <c r="J8" s="9">
        <f ca="1">IF(E8="PUT",IF((H8-F8)&lt;0,(F8-H8)*G8,0),IF((H8-F8)&gt;0,(H8-F8)*G8,0))</f>
        <v>0</v>
      </c>
      <c r="K8" s="9">
        <f ca="1">IF(I8="CAD",J8,(J8*Currency!$B$2))</f>
        <v>0</v>
      </c>
      <c r="L8" s="5">
        <v>0</v>
      </c>
      <c r="M8" s="9">
        <f>L8*-G8</f>
        <v>0</v>
      </c>
      <c r="N8" s="9">
        <f ca="1">IF(I8="CAD",M8,(M8*Currency!$B$2))</f>
        <v>0</v>
      </c>
      <c r="O8" s="2" cm="1">
        <f t="array" aca="1" ref="O8" ca="1">($H8 - _xlfn.STOCKHISTORY($A8, O$1,O$1,0,0,1))/$H8</f>
        <v>9.9111027047475101E-3</v>
      </c>
      <c r="P8" s="2" cm="1">
        <f t="array" aca="1" ref="P8" ca="1">(H8 - _xlfn.STOCKHISTORY($A8, P$1,P$1,0,0,1))/$H8</f>
        <v>3.3364857196898128E-2</v>
      </c>
      <c r="Q8" s="2" cm="1">
        <f t="array" aca="1" ref="Q8" ca="1">($H8 - _xlfn.STOCKHISTORY($A8, Q$1,Q$1,0,0,1))/$H8</f>
        <v>-1.1689048609797522E-2</v>
      </c>
      <c r="R8" s="2" cm="1">
        <f t="array" aca="1" ref="R8" ca="1">($H8 - _xlfn.STOCKHISTORY($A8, R$1,R$1,0,0,1))/$H8</f>
        <v>7.5203328919992513E-2</v>
      </c>
    </row>
    <row r="9" spans="1:18" x14ac:dyDescent="0.35">
      <c r="A9" s="5" t="e" vm="20">
        <v>#VALUE!</v>
      </c>
      <c r="B9" s="5" t="s">
        <v>1</v>
      </c>
      <c r="C9" s="5" t="str" cm="1">
        <f t="array" aca="1" ref="C9" ca="1">_FV(A9,"Ticker symbol",TRUE)</f>
        <v>AAPL</v>
      </c>
      <c r="D9" s="7">
        <v>46402</v>
      </c>
      <c r="E9" t="s">
        <v>3</v>
      </c>
      <c r="F9">
        <v>200</v>
      </c>
      <c r="G9">
        <v>-900</v>
      </c>
      <c r="H9" s="3" cm="1">
        <f t="array" aca="1" ref="H9" ca="1">_FV(A9,"Price")</f>
        <v>264.35000000000002</v>
      </c>
      <c r="I9" t="str" cm="1">
        <f t="array" aca="1" ref="I9" ca="1">_FV(A9,"Currency")</f>
        <v>USD</v>
      </c>
      <c r="J9" s="9">
        <f ca="1">IF(E9="PUT",IF((H9-F9)&lt;0,(F9-H9)*G9,0),IF((H9-F9)&gt;0,(H9-F9)*G9,0))</f>
        <v>0</v>
      </c>
      <c r="K9" s="9">
        <f ca="1">IF(I9="CAD",J9,(J9*Currency!$B$2))</f>
        <v>0</v>
      </c>
      <c r="L9" s="5">
        <v>200</v>
      </c>
      <c r="M9" s="9">
        <f>L9*-G9</f>
        <v>180000</v>
      </c>
      <c r="N9" s="9">
        <f ca="1">IF(I9="CAD",M9,(M9*Currency!$B$2))</f>
        <v>246276.00000000003</v>
      </c>
      <c r="O9" s="2" cm="1">
        <f t="array" aca="1" ref="O9" ca="1">($H9 - _xlfn.STOCKHISTORY($A9, O$1,O$1,0,0,1))/$H9</f>
        <v>9.9111027047475101E-3</v>
      </c>
      <c r="P9" s="2" cm="1">
        <f t="array" aca="1" ref="P9" ca="1">(H9 - _xlfn.STOCKHISTORY($A9, P$1,P$1,0,0,1))/$H9</f>
        <v>3.3364857196898128E-2</v>
      </c>
      <c r="Q9" s="2" cm="1">
        <f t="array" aca="1" ref="Q9" ca="1">($H9 - _xlfn.STOCKHISTORY($A9, Q$1,Q$1,0,0,1))/$H9</f>
        <v>-1.1689048609797522E-2</v>
      </c>
      <c r="R9" s="2" cm="1">
        <f t="array" aca="1" ref="R9" ca="1">($H9 - _xlfn.STOCKHISTORY($A9, R$1,R$1,0,0,1))/$H9</f>
        <v>7.5203328919992513E-2</v>
      </c>
    </row>
    <row r="10" spans="1:18" x14ac:dyDescent="0.35">
      <c r="A10" s="5" t="e" vm="20">
        <v>#VALUE!</v>
      </c>
      <c r="B10" s="5" t="s">
        <v>1</v>
      </c>
      <c r="C10" s="5" t="str" cm="1">
        <f t="array" aca="1" ref="C10" ca="1">_FV(A10,"Ticker symbol",TRUE)</f>
        <v>AAPL</v>
      </c>
      <c r="D10" s="7">
        <v>46402</v>
      </c>
      <c r="E10" t="s">
        <v>3</v>
      </c>
      <c r="F10">
        <v>250</v>
      </c>
      <c r="G10">
        <v>300</v>
      </c>
      <c r="H10" s="3" cm="1">
        <f t="array" aca="1" ref="H10" ca="1">_FV(A10,"Price")</f>
        <v>264.35000000000002</v>
      </c>
      <c r="I10" t="str" cm="1">
        <f t="array" aca="1" ref="I10" ca="1">_FV(A10,"Currency")</f>
        <v>USD</v>
      </c>
      <c r="J10" s="9">
        <f ca="1">IF(E10="PUT",IF((H10-F10)&lt;0,(F10-H10)*G10,0),IF((H10-F10)&gt;0,(H10-F10)*G10,0))</f>
        <v>0</v>
      </c>
      <c r="K10" s="9">
        <f ca="1">IF(I10="CAD",J10,(J10*Currency!$B$2))</f>
        <v>0</v>
      </c>
      <c r="L10" s="5">
        <v>0</v>
      </c>
      <c r="M10" s="9">
        <f>L10*-G10</f>
        <v>0</v>
      </c>
      <c r="N10" s="9">
        <f ca="1">IF(I10="CAD",M10,(M10*Currency!$B$2))</f>
        <v>0</v>
      </c>
      <c r="O10" s="2" cm="1">
        <f t="array" aca="1" ref="O10" ca="1">($H10 - _xlfn.STOCKHISTORY($A10, O$1,O$1,0,0,1))/$H10</f>
        <v>9.9111027047475101E-3</v>
      </c>
      <c r="P10" s="2" cm="1">
        <f t="array" aca="1" ref="P10" ca="1">(H10 - _xlfn.STOCKHISTORY($A10, P$1,P$1,0,0,1))/$H10</f>
        <v>3.3364857196898128E-2</v>
      </c>
      <c r="Q10" s="2" cm="1">
        <f t="array" aca="1" ref="Q10" ca="1">($H10 - _xlfn.STOCKHISTORY($A10, Q$1,Q$1,0,0,1))/$H10</f>
        <v>-1.1689048609797522E-2</v>
      </c>
      <c r="R10" s="2" cm="1">
        <f t="array" aca="1" ref="R10" ca="1">($H10 - _xlfn.STOCKHISTORY($A10, R$1,R$1,0,0,1))/$H10</f>
        <v>7.5203328919992513E-2</v>
      </c>
    </row>
    <row r="11" spans="1:18" x14ac:dyDescent="0.35">
      <c r="A11" s="5" t="e" vm="21">
        <v>#VALUE!</v>
      </c>
      <c r="B11" s="5" t="s">
        <v>1</v>
      </c>
      <c r="C11" s="5" t="str" cm="1">
        <f t="array" aca="1" ref="C11" ca="1">_FV(A11,"Ticker symbol",TRUE)</f>
        <v>PAAS</v>
      </c>
      <c r="D11" s="7">
        <v>46402</v>
      </c>
      <c r="E11" t="s">
        <v>4</v>
      </c>
      <c r="F11">
        <v>60</v>
      </c>
      <c r="G11">
        <v>2000</v>
      </c>
      <c r="H11" s="3" cm="1">
        <f t="array" aca="1" ref="H11" ca="1">_FV(A11,"Price")</f>
        <v>58.01</v>
      </c>
      <c r="I11" t="str" cm="1">
        <f t="array" aca="1" ref="I11" ca="1">_FV(A11,"Currency")</f>
        <v>USD</v>
      </c>
      <c r="J11" s="9">
        <f ca="1">IF(E11="PUT",IF((H11-F11)&lt;0,(F11-H11)*G11,0),IF((H11-F11)&gt;0,(H11-F11)*G11,0))</f>
        <v>0</v>
      </c>
      <c r="K11" s="9">
        <f ca="1">IF(I11="CAD",J11,(J11*Currency!$B$2))</f>
        <v>0</v>
      </c>
      <c r="L11" s="5">
        <v>0</v>
      </c>
      <c r="M11" s="9">
        <f>L11*-G11</f>
        <v>0</v>
      </c>
      <c r="N11" s="9">
        <f ca="1">IF(I11="CAD",M11,(M11*Currency!$B$2))</f>
        <v>0</v>
      </c>
      <c r="O11" s="2" cm="1">
        <f t="array" aca="1" ref="O11" ca="1">($H11 - _xlfn.STOCKHISTORY($A11, O$1,O$1,0,0,1))/$H11</f>
        <v>5.8955352525426559E-2</v>
      </c>
      <c r="P11" s="2" cm="1">
        <f t="array" aca="1" ref="P11" ca="1">(H11 - _xlfn.STOCKHISTORY($A11, P$1,P$1,0,0,1))/$H11</f>
        <v>4.8439924151008368E-2</v>
      </c>
      <c r="Q11" s="2" t="e" cm="1" vm="3">
        <f t="array" aca="1" ref="Q11" ca="1">($H11 - _xlfn.STOCKHISTORY($A11, Q$1,Q$1,0,0,1))/$H11</f>
        <v>#VALUE!</v>
      </c>
      <c r="R11" s="2" t="e" cm="1" vm="3">
        <f t="array" aca="1" ref="R11" ca="1">($H11 - _xlfn.STOCKHISTORY($A11, R$1,R$1,0,0,1))/$H11</f>
        <v>#VALUE!</v>
      </c>
    </row>
    <row r="12" spans="1:18" x14ac:dyDescent="0.35">
      <c r="A12" s="5" t="e" vm="21">
        <v>#VALUE!</v>
      </c>
      <c r="B12" s="5" t="s">
        <v>1</v>
      </c>
      <c r="C12" s="5" t="str" cm="1">
        <f t="array" aca="1" ref="C12" ca="1">_FV(A12,"Ticker symbol",TRUE)</f>
        <v>PAAS</v>
      </c>
      <c r="D12" s="7">
        <v>46402</v>
      </c>
      <c r="E12" t="s">
        <v>4</v>
      </c>
      <c r="F12">
        <v>80</v>
      </c>
      <c r="G12">
        <v>-4000</v>
      </c>
      <c r="H12" s="3" cm="1">
        <f t="array" aca="1" ref="H12" ca="1">_FV(A12,"Price")</f>
        <v>58.01</v>
      </c>
      <c r="I12" t="str" cm="1">
        <f t="array" aca="1" ref="I12" ca="1">_FV(A12,"Currency")</f>
        <v>USD</v>
      </c>
      <c r="J12" s="9">
        <f ca="1">IF(E12="PUT",IF((H12-F12)&lt;0,(F12-H12)*G12,0),IF((H12-F12)&gt;0,(H12-F12)*G12,0))</f>
        <v>0</v>
      </c>
      <c r="K12" s="9">
        <f ca="1">IF(I12="CAD",J12,(J12*Currency!$B$2))</f>
        <v>0</v>
      </c>
      <c r="L12" s="5">
        <v>100</v>
      </c>
      <c r="M12" s="9">
        <f>L12*-G12</f>
        <v>400000</v>
      </c>
      <c r="N12" s="9">
        <f ca="1">IF(I12="CAD",M12,(M12*Currency!$B$2))</f>
        <v>547280</v>
      </c>
      <c r="O12" s="2" cm="1">
        <f t="array" aca="1" ref="O12" ca="1">($H12 - _xlfn.STOCKHISTORY($A12, O$1,O$1,0,0,1))/$H12</f>
        <v>5.8955352525426559E-2</v>
      </c>
      <c r="P12" s="2" cm="1">
        <f t="array" aca="1" ref="P12" ca="1">(H12 - _xlfn.STOCKHISTORY($A12, P$1,P$1,0,0,1))/$H12</f>
        <v>4.8439924151008368E-2</v>
      </c>
      <c r="Q12" s="2" t="e" cm="1" vm="3">
        <f t="array" aca="1" ref="Q12" ca="1">($H12 - _xlfn.STOCKHISTORY($A12, Q$1,Q$1,0,0,1))/$H12</f>
        <v>#VALUE!</v>
      </c>
      <c r="R12" s="2" t="e" cm="1" vm="3">
        <f t="array" aca="1" ref="R12" ca="1">($H12 - _xlfn.STOCKHISTORY($A12, R$1,R$1,0,0,1))/$H12</f>
        <v>#VALUE!</v>
      </c>
    </row>
    <row r="13" spans="1:18" x14ac:dyDescent="0.35">
      <c r="A13" s="5" t="e" vm="1">
        <v>#VALUE!</v>
      </c>
      <c r="B13" s="5" t="s">
        <v>1</v>
      </c>
      <c r="C13" s="5" t="str" cm="1">
        <f t="array" aca="1" ref="C13" ca="1">_FV(A13,"Ticker symbol",TRUE)</f>
        <v>SPY</v>
      </c>
      <c r="D13" s="7">
        <v>46402</v>
      </c>
      <c r="E13" t="s">
        <v>3</v>
      </c>
      <c r="F13">
        <v>580</v>
      </c>
      <c r="G13">
        <v>-1000</v>
      </c>
      <c r="H13" s="3" cm="1">
        <f t="array" aca="1" ref="H13" ca="1">_FV(A13,"Price")</f>
        <v>686.24</v>
      </c>
      <c r="I13" t="str" cm="1">
        <f t="array" aca="1" ref="I13" ca="1">_FV(A13,"Currency")</f>
        <v>USD</v>
      </c>
      <c r="J13" s="9">
        <f ca="1">IF(E13="PUT",IF((H13-F13)&lt;0,(F13-H13)*G13,0),IF((H13-F13)&gt;0,(H13-F13)*G13,0))</f>
        <v>0</v>
      </c>
      <c r="K13" s="9">
        <f ca="1">IF(I13="CAD",J13,(J13*Currency!$B$2))</f>
        <v>0</v>
      </c>
      <c r="L13" s="5">
        <v>0</v>
      </c>
      <c r="M13" s="9">
        <f>L13*-G13</f>
        <v>0</v>
      </c>
      <c r="N13" s="9">
        <f ca="1">IF(I13="CAD",M13,(M13*Currency!$B$2))</f>
        <v>0</v>
      </c>
      <c r="O13" s="2" cm="1">
        <f t="array" aca="1" ref="O13" ca="1">($H13 - _xlfn.STOCKHISTORY($A13, O$1,O$1,0,0,1))/$H13</f>
        <v>7.2423641874563233E-3</v>
      </c>
      <c r="P13" s="2" cm="1">
        <f t="array" aca="1" ref="P13" ca="1">(H13 - _xlfn.STOCKHISTORY($A13, P$1,P$1,0,0,1))/$H13</f>
        <v>-7.8981114478898912E-3</v>
      </c>
      <c r="Q13" s="2" cm="1">
        <f t="array" aca="1" ref="Q13" ca="1">($H13 - _xlfn.STOCKHISTORY($A13, Q$1,Q$1,0,0,1))/$H13</f>
        <v>3.8120774073210489E-2</v>
      </c>
      <c r="R13" s="2" cm="1">
        <f t="array" aca="1" ref="R13" ca="1">($H13 - _xlfn.STOCKHISTORY($A13, R$1,R$1,0,0,1))/$H13</f>
        <v>0.10892690603870366</v>
      </c>
    </row>
    <row r="14" spans="1:18" x14ac:dyDescent="0.35">
      <c r="A14" s="5" t="e" vm="1">
        <v>#VALUE!</v>
      </c>
      <c r="B14" s="5" t="s">
        <v>1</v>
      </c>
      <c r="C14" s="5" t="str" cm="1">
        <f t="array" aca="1" ref="C14" ca="1">_FV(A14,"Ticker symbol",TRUE)</f>
        <v>SPY</v>
      </c>
      <c r="D14" s="7">
        <v>46465</v>
      </c>
      <c r="E14" t="s">
        <v>3</v>
      </c>
      <c r="F14">
        <v>680</v>
      </c>
      <c r="G14">
        <v>1000</v>
      </c>
      <c r="H14" s="3" cm="1">
        <f t="array" aca="1" ref="H14" ca="1">_FV(A14,"Price")</f>
        <v>686.24</v>
      </c>
      <c r="I14" t="str" cm="1">
        <f t="array" aca="1" ref="I14" ca="1">_FV(A14,"Currency")</f>
        <v>USD</v>
      </c>
      <c r="J14" s="9">
        <f ca="1">IF(E14="PUT",IF((H14-F14)&lt;0,(F14-H14)*G14,0),IF((H14-F14)&gt;0,(H14-F14)*G14,0))</f>
        <v>0</v>
      </c>
      <c r="K14" s="9">
        <f ca="1">IF(I14="CAD",J14,(J14*Currency!$B$2))</f>
        <v>0</v>
      </c>
      <c r="L14" s="5">
        <v>0</v>
      </c>
      <c r="M14" s="9">
        <f>L14*-G14</f>
        <v>0</v>
      </c>
      <c r="N14" s="9">
        <f ca="1">IF(I14="CAD",M14,(M14*Currency!$B$2))</f>
        <v>0</v>
      </c>
      <c r="O14" s="2" cm="1">
        <f t="array" aca="1" ref="O14" ca="1">($H14 - _xlfn.STOCKHISTORY($A14, O$1,O$1,0,0,1))/$H14</f>
        <v>7.2423641874563233E-3</v>
      </c>
      <c r="P14" s="2" cm="1">
        <f t="array" aca="1" ref="P14" ca="1">(H14 - _xlfn.STOCKHISTORY($A14, P$1,P$1,0,0,1))/$H14</f>
        <v>-7.8981114478898912E-3</v>
      </c>
      <c r="Q14" s="2" cm="1">
        <f t="array" aca="1" ref="Q14" ca="1">($H14 - _xlfn.STOCKHISTORY($A14, Q$1,Q$1,0,0,1))/$H14</f>
        <v>3.8120774073210489E-2</v>
      </c>
      <c r="R14" s="2" cm="1">
        <f t="array" aca="1" ref="R14" ca="1">($H14 - _xlfn.STOCKHISTORY($A14, R$1,R$1,0,0,1))/$H14</f>
        <v>0.10892690603870366</v>
      </c>
    </row>
    <row r="15" spans="1:18" ht="26" x14ac:dyDescent="0.35">
      <c r="A15" s="5" t="e" vm="22">
        <v>#VALUE!</v>
      </c>
      <c r="B15" s="5" t="s">
        <v>1</v>
      </c>
      <c r="C15" s="5" t="str" cm="1">
        <f t="array" aca="1" ref="C15" ca="1">_FV(A15,"Ticker symbol",TRUE)</f>
        <v>TRI</v>
      </c>
      <c r="D15" s="7">
        <v>46199</v>
      </c>
      <c r="E15" t="s">
        <v>3</v>
      </c>
      <c r="F15">
        <v>120</v>
      </c>
      <c r="G15">
        <v>-100</v>
      </c>
      <c r="H15" s="3" cm="1">
        <f t="array" aca="1" ref="H15" ca="1">_FV(A15,"Price")</f>
        <v>117.38</v>
      </c>
      <c r="I15" t="str" cm="1">
        <f t="array" aca="1" ref="I15" ca="1">_FV(A15,"Currency")</f>
        <v>CAD</v>
      </c>
      <c r="J15" s="9">
        <f ca="1">IF(E15="PUT",IF((H15-F15)&lt;0,(F15-H15)*G15,0),IF((H15-F15)&gt;0,(H15-F15)*G15,0))</f>
        <v>-262.00000000000045</v>
      </c>
      <c r="K15" s="9">
        <f ca="1">IF(I15="CAD",J15,(J15*Currency!$B$2))</f>
        <v>-262.00000000000045</v>
      </c>
      <c r="L15" s="5">
        <v>120</v>
      </c>
      <c r="M15" s="9">
        <f>L15*-G15</f>
        <v>12000</v>
      </c>
      <c r="N15" s="9">
        <f ca="1">IF(I15="CAD",M15,(M15*Currency!$B$2))</f>
        <v>12000</v>
      </c>
      <c r="O15" s="2" cm="1">
        <f t="array" aca="1" ref="O15" ca="1">($H15 - _xlfn.STOCKHISTORY($A15, O$1,O$1,0,0,1))/$H15</f>
        <v>5.2819901175667943E-3</v>
      </c>
      <c r="P15" s="2" cm="1">
        <f t="array" aca="1" ref="P15" ca="1">(H15 - _xlfn.STOCKHISTORY($A15, P$1,P$1,0,0,1))/$H15</f>
        <v>-0.46950076674050106</v>
      </c>
      <c r="Q15" s="2" cm="1">
        <f t="array" aca="1" ref="Q15" ca="1">($H15 - _xlfn.STOCKHISTORY($A15, Q$1,Q$1,0,0,1))/$H15</f>
        <v>-0.61705571647640156</v>
      </c>
      <c r="R15" s="2" cm="1">
        <f t="array" aca="1" ref="R15" ca="1">($H15 - _xlfn.STOCKHISTORY($A15, R$1,R$1,0,0,1))/$H15</f>
        <v>-1.0987391378429034</v>
      </c>
    </row>
    <row r="16" spans="1:18" x14ac:dyDescent="0.35">
      <c r="A16" s="5" t="e" vm="23">
        <v>#VALUE!</v>
      </c>
      <c r="B16" s="5" t="s">
        <v>1</v>
      </c>
      <c r="C16" s="5" t="str" cm="1">
        <f t="array" aca="1" ref="C16" ca="1">_FV(A16,"Ticker symbol",TRUE)</f>
        <v>TSLA</v>
      </c>
      <c r="D16" s="7">
        <v>46402</v>
      </c>
      <c r="E16" t="s">
        <v>3</v>
      </c>
      <c r="F16">
        <v>300</v>
      </c>
      <c r="G16">
        <v>-400</v>
      </c>
      <c r="H16" s="3" cm="1">
        <f t="array" aca="1" ref="H16" ca="1">_FV(A16,"Price")</f>
        <v>411.32</v>
      </c>
      <c r="I16" t="str" cm="1">
        <f t="array" aca="1" ref="I16" ca="1">_FV(A16,"Currency")</f>
        <v>USD</v>
      </c>
      <c r="J16" s="9">
        <f ca="1">IF(E16="PUT",IF((H16-F16)&lt;0,(F16-H16)*G16,0),IF((H16-F16)&gt;0,(H16-F16)*G16,0))</f>
        <v>0</v>
      </c>
      <c r="K16" s="9">
        <f ca="1">IF(I16="CAD",J16,(J16*Currency!$B$2))</f>
        <v>0</v>
      </c>
      <c r="L16" s="5">
        <v>0</v>
      </c>
      <c r="M16" s="9">
        <f>L16*-G16</f>
        <v>0</v>
      </c>
      <c r="N16" s="9">
        <f ca="1">IF(I16="CAD",M16,(M16*Currency!$B$2))</f>
        <v>0</v>
      </c>
      <c r="O16" s="2" cm="1">
        <f t="array" aca="1" ref="O16" ca="1">($H16 - _xlfn.STOCKHISTORY($A16, O$1,O$1,0,0,1))/$H16</f>
        <v>-1.3979383448409998E-2</v>
      </c>
      <c r="P16" s="2" cm="1">
        <f t="array" aca="1" ref="P16" ca="1">(H16 - _xlfn.STOCKHISTORY($A16, P$1,P$1,0,0,1))/$H16</f>
        <v>-6.3648740639891094E-2</v>
      </c>
      <c r="Q16" s="2" cm="1">
        <f t="array" aca="1" ref="Q16" ca="1">($H16 - _xlfn.STOCKHISTORY($A16, Q$1,Q$1,0,0,1))/$H16</f>
        <v>2.4482155013128448E-2</v>
      </c>
      <c r="R16" s="2" t="e" cm="1" vm="3">
        <f t="array" aca="1" ref="R16" ca="1">($H16 - _xlfn.STOCKHISTORY($A16, R$1,R$1,0,0,1))/$H16</f>
        <v>#VALUE!</v>
      </c>
    </row>
    <row r="17" spans="1:18" x14ac:dyDescent="0.35">
      <c r="A17" s="5" t="e" vm="23">
        <v>#VALUE!</v>
      </c>
      <c r="B17" s="5" t="s">
        <v>1</v>
      </c>
      <c r="C17" s="5" t="str" cm="1">
        <f t="array" aca="1" ref="C17" ca="1">_FV(A17,"Ticker symbol",TRUE)</f>
        <v>TSLA</v>
      </c>
      <c r="D17" s="7">
        <v>46402</v>
      </c>
      <c r="E17" t="s">
        <v>3</v>
      </c>
      <c r="F17">
        <v>400</v>
      </c>
      <c r="G17">
        <v>200</v>
      </c>
      <c r="H17" s="3" cm="1">
        <f t="array" aca="1" ref="H17" ca="1">_FV(A17,"Price")</f>
        <v>411.32</v>
      </c>
      <c r="I17" t="str" cm="1">
        <f t="array" aca="1" ref="I17" ca="1">_FV(A17,"Currency")</f>
        <v>USD</v>
      </c>
      <c r="J17" s="9">
        <f ca="1">IF(E17="PUT",IF((H17-F17)&lt;0,(F17-H17)*G17,0),IF((H17-F17)&gt;0,(H17-F17)*G17,0))</f>
        <v>0</v>
      </c>
      <c r="K17" s="9">
        <f ca="1">IF(I17="CAD",J17,(J17*Currency!$B$2))</f>
        <v>0</v>
      </c>
      <c r="L17" s="5">
        <v>0</v>
      </c>
      <c r="M17" s="9">
        <f>L17*-G17</f>
        <v>0</v>
      </c>
      <c r="N17" s="9">
        <f ca="1">IF(I17="CAD",M17,(M17*Currency!$B$2))</f>
        <v>0</v>
      </c>
      <c r="O17" s="2" cm="1">
        <f t="array" aca="1" ref="O17" ca="1">($H17 - _xlfn.STOCKHISTORY($A17, O$1,O$1,0,0,1))/$H17</f>
        <v>-1.3979383448409998E-2</v>
      </c>
      <c r="P17" s="2" cm="1">
        <f t="array" aca="1" ref="P17" ca="1">(H17 - _xlfn.STOCKHISTORY($A17, P$1,P$1,0,0,1))/$H17</f>
        <v>-6.3648740639891094E-2</v>
      </c>
      <c r="Q17" s="2" cm="1">
        <f t="array" aca="1" ref="Q17" ca="1">($H17 - _xlfn.STOCKHISTORY($A17, Q$1,Q$1,0,0,1))/$H17</f>
        <v>2.4482155013128448E-2</v>
      </c>
      <c r="R17" s="2" t="e" cm="1" vm="3">
        <f t="array" aca="1" ref="R17" ca="1">($H17 - _xlfn.STOCKHISTORY($A17, R$1,R$1,0,0,1))/$H17</f>
        <v>#VALUE!</v>
      </c>
    </row>
  </sheetData>
  <autoFilter ref="A1:K5" xr:uid="{C27FC6BD-ED3D-4F37-BFAD-510201363D33}"/>
  <sortState xmlns:xlrd2="http://schemas.microsoft.com/office/spreadsheetml/2017/richdata2" ref="A8:R17">
    <sortCondition ref="B8:B17"/>
    <sortCondition ref="C8:C17"/>
    <sortCondition ref="D8:D17"/>
    <sortCondition ref="F8:F17"/>
  </sortState>
  <phoneticPr fontId="2" type="noConversion"/>
  <conditionalFormatting sqref="O2:O1048576">
    <cfRule type="colorScale" priority="2050">
      <colorScale>
        <cfvo type="min"/>
        <cfvo type="percentile" val="50"/>
        <cfvo type="max"/>
        <color rgb="FFF8696B"/>
        <color rgb="FFFCFCFF"/>
        <color rgb="FF63BE7B"/>
      </colorScale>
    </cfRule>
  </conditionalFormatting>
  <conditionalFormatting sqref="P2:P17">
    <cfRule type="colorScale" priority="2096">
      <colorScale>
        <cfvo type="min"/>
        <cfvo type="percentile" val="50"/>
        <cfvo type="max"/>
        <color rgb="FFF8696B"/>
        <color rgb="FFFCFCFF"/>
        <color rgb="FF63BE7B"/>
      </colorScale>
    </cfRule>
  </conditionalFormatting>
  <conditionalFormatting sqref="Q2:Q17">
    <cfRule type="colorScale" priority="2098">
      <colorScale>
        <cfvo type="min"/>
        <cfvo type="percentile" val="50"/>
        <cfvo type="max"/>
        <color rgb="FFF8696B"/>
        <color rgb="FFFCFCFF"/>
        <color rgb="FF63BE7B"/>
      </colorScale>
    </cfRule>
  </conditionalFormatting>
  <conditionalFormatting sqref="R2:R17">
    <cfRule type="colorScale" priority="2100">
      <colorScale>
        <cfvo type="min"/>
        <cfvo type="percentile" val="50"/>
        <cfvo type="max"/>
        <color rgb="FFF8696B"/>
        <color rgb="FFFCFCFF"/>
        <color rgb="FF63BE7B"/>
      </colorScale>
    </cfRule>
  </conditionalFormatting>
  <dataValidations count="2">
    <dataValidation type="list" allowBlank="1" showInputMessage="1" showErrorMessage="1" sqref="E1:E1048576" xr:uid="{388CC8A0-E81B-466B-B9AB-96B8427AB16E}">
      <formula1>"PUT, CALL"</formula1>
    </dataValidation>
    <dataValidation type="list" allowBlank="1" showInputMessage="1" showErrorMessage="1" sqref="B1:B1048576" xr:uid="{3FB556AC-2502-4327-83DD-EB96106CEEED}">
      <formula1>"TD,HSBC,CIBC,RBC"</formula1>
    </dataValidation>
  </dataValidations>
  <pageMargins left="0.7" right="0.7" top="0.75" bottom="0.75" header="0.3" footer="0.3"/>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C18EA-5749-42AD-8930-BF2B813C4264}">
  <dimension ref="A1:K122"/>
  <sheetViews>
    <sheetView workbookViewId="0">
      <pane ySplit="1" topLeftCell="A2" activePane="bottomLeft" state="frozen"/>
      <selection pane="bottomLeft" activeCell="P13" sqref="P13"/>
    </sheetView>
  </sheetViews>
  <sheetFormatPr defaultRowHeight="14.5" x14ac:dyDescent="0.35"/>
  <cols>
    <col min="1" max="1" width="15.1796875" customWidth="1"/>
    <col min="2" max="2" width="13.453125" customWidth="1"/>
    <col min="4" max="4" width="11.81640625" style="2" bestFit="1" customWidth="1"/>
    <col min="5" max="5" width="11" customWidth="1"/>
    <col min="6" max="6" width="10.81640625" customWidth="1"/>
    <col min="7" max="7" width="12.1796875" customWidth="1"/>
    <col min="8" max="8" width="12" customWidth="1"/>
    <col min="9" max="10" width="11.81640625" customWidth="1"/>
    <col min="11" max="11" width="11.453125" customWidth="1"/>
  </cols>
  <sheetData>
    <row r="1" spans="1:11" x14ac:dyDescent="0.35">
      <c r="A1" t="s">
        <v>10</v>
      </c>
      <c r="B1" t="s">
        <v>9</v>
      </c>
      <c r="C1" t="s">
        <v>20</v>
      </c>
      <c r="D1" s="8">
        <f ca="1">WORKDAY(TODAY(),-5)</f>
        <v>46065</v>
      </c>
      <c r="E1" s="8">
        <f ca="1">WORKDAY(EDATE(TODAY(),-1),-1)</f>
        <v>46038</v>
      </c>
      <c r="F1" s="8">
        <f ca="1">WORKDAY(EDATE(TODAY(),-3),-1)</f>
        <v>45979</v>
      </c>
      <c r="G1" s="8">
        <f ca="1">WORKDAY(EDATE(TODAY(),-12),-1)</f>
        <v>45706</v>
      </c>
      <c r="H1" s="8">
        <f ca="1">WORKDAY(EDATE(TODAY(),-18),-1)</f>
        <v>45520</v>
      </c>
      <c r="I1" s="8">
        <f ca="1">WORKDAY(EDATE(TODAY(),-24),-1)</f>
        <v>45338</v>
      </c>
      <c r="J1" s="8">
        <f ca="1">WORKDAY(EDATE(TODAY(),-36),-1)</f>
        <v>44974</v>
      </c>
      <c r="K1" s="8">
        <f ca="1">WORKDAY(EDATE(TODAY(),-48),-1)</f>
        <v>44610</v>
      </c>
    </row>
    <row r="2" spans="1:11" ht="14.15" customHeight="1" x14ac:dyDescent="0.35">
      <c r="A2" t="e" vm="24">
        <v>#VALUE!</v>
      </c>
      <c r="B2" s="1" cm="1">
        <f t="array" aca="1" ref="B2" ca="1">_FV(A2,"Price")</f>
        <v>1.3682000000000001</v>
      </c>
      <c r="C2" s="2" cm="1">
        <f t="array" aca="1" ref="C2" ca="1">_FV(A2,"Change (%)",TRUE)</f>
        <v>-9.4930000000000004E-4</v>
      </c>
      <c r="D2" s="2" cm="1">
        <f t="array" aca="1" ref="D2" ca="1">($B2 - _xlfn.STOCKHISTORY($A2, D$1,D$1,0,0,1))/$B2</f>
        <v>5.4816547288408582E-3</v>
      </c>
      <c r="E2" s="2" cm="1">
        <f t="array" aca="1" ref="E2" ca="1">($B2 - _xlfn.STOCKHISTORY($A2, E$1,E$1,0,0,1))/$B2</f>
        <v>-1.7029674024265366E-2</v>
      </c>
      <c r="F2" s="2" cm="1">
        <f t="array" aca="1" ref="F2" ca="1">($B2 - _xlfn.STOCKHISTORY($A2, F$1,F$1,0,0,1))/$B2</f>
        <v>-2.2218973834234747E-2</v>
      </c>
      <c r="G2" s="2" cm="1">
        <f t="array" aca="1" ref="G2" ca="1">($B2 - _xlfn.STOCKHISTORY($A2, G$1,G$1,0,0,1))/$B2</f>
        <v>-3.7640695804706824E-2</v>
      </c>
      <c r="H2" s="2" cm="1">
        <f t="array" aca="1" ref="H2" ca="1">($B2 - _xlfn.STOCKHISTORY($A2, H$1,H$1,0,0,1))/$B2</f>
        <v>4.3853237830737896E-4</v>
      </c>
      <c r="I2" s="2" cm="1">
        <f t="array" aca="1" ref="I2" ca="1">($B2 - _xlfn.STOCKHISTORY($A2, I$1,I$1,0,0,1))/$B2</f>
        <v>1.4471568484139774E-2</v>
      </c>
      <c r="J2" s="2" cm="1">
        <f t="array" aca="1" ref="J2" ca="1">($B2 - _xlfn.STOCKHISTORY($A2, J$1,J$1,0,0,1))/$B2</f>
        <v>1.5494810700190109E-2</v>
      </c>
      <c r="K2" s="2" cm="1">
        <f t="array" aca="1" ref="K2" ca="1">($B2 - _xlfn.STOCKHISTORY($A2, K$1,K$1,0,0,1))/$B2</f>
        <v>6.819178482677983E-2</v>
      </c>
    </row>
    <row r="3" spans="1:11" x14ac:dyDescent="0.35">
      <c r="A3" t="e" vm="25">
        <v>#VALUE!</v>
      </c>
      <c r="B3" s="1" cm="1">
        <f t="array" aca="1" ref="B3" ca="1">_FV(A3,"Price")</f>
        <v>67096.73</v>
      </c>
      <c r="C3" s="2" cm="1">
        <f t="array" aca="1" ref="C3" ca="1">_FV(A3,"Change (%)",TRUE)</f>
        <v>1.1647000000000001E-2</v>
      </c>
      <c r="D3" s="2" cm="1">
        <f t="array" aca="1" ref="D3" ca="1">($B3 - _xlfn.STOCKHISTORY($A3, D$1,D$1,0,0,1))/$B3</f>
        <v>1.9296171363343519E-2</v>
      </c>
      <c r="E3" s="2" cm="1">
        <f t="array" aca="1" ref="E3" ca="1">($B3 - _xlfn.STOCKHISTORY($A3, E$1,E$1,0,0,1))/$B3</f>
        <v>-0.42294222088021294</v>
      </c>
      <c r="F3" s="2" cm="1">
        <f t="array" aca="1" ref="F3" ca="1">($B3 - _xlfn.STOCKHISTORY($A3, F$1,F$1,0,0,1))/$B3</f>
        <v>-0.37803705188017367</v>
      </c>
      <c r="G3" s="2" cm="1">
        <f t="array" aca="1" ref="G3" ca="1">($B3 - _xlfn.STOCKHISTORY($A3, G$1,G$1,0,0,1))/$B3</f>
        <v>-0.41643281274661226</v>
      </c>
      <c r="H3" s="2" cm="1">
        <f t="array" aca="1" ref="H3" ca="1">($B3 - _xlfn.STOCKHISTORY($A3, H$1,H$1,0,0,1))/$B3</f>
        <v>0.11652922579088425</v>
      </c>
      <c r="I3" s="2" cm="1">
        <f t="array" aca="1" ref="I3" ca="1">($B3 - _xlfn.STOCKHISTORY($A3, I$1,I$1,0,0,1))/$B3</f>
        <v>0.22492497026308134</v>
      </c>
      <c r="J3" s="2" cm="1">
        <f t="array" aca="1" ref="J3" ca="1">($B3 - _xlfn.STOCKHISTORY($A3, J$1,J$1,0,0,1))/$B3</f>
        <v>0.63512379813442466</v>
      </c>
      <c r="K3" s="2" cm="1">
        <f t="array" aca="1" ref="K3" ca="1">($B3 - _xlfn.STOCKHISTORY($A3, K$1,K$1,0,0,1))/$B3</f>
        <v>0.40417215563262171</v>
      </c>
    </row>
    <row r="4" spans="1:11" x14ac:dyDescent="0.35">
      <c r="A4" t="e" vm="26">
        <v>#VALUE!</v>
      </c>
      <c r="B4" s="1" cm="1">
        <f t="array" aca="1" ref="B4" ca="1">_FV(A4,"Price")</f>
        <v>1978.53</v>
      </c>
      <c r="C4" s="2" cm="1">
        <f t="array" aca="1" ref="C4" ca="1">_FV(A4,"Change (%)",TRUE)</f>
        <v>1.8963000000000001E-2</v>
      </c>
      <c r="D4" s="2" cm="1">
        <f t="array" aca="1" ref="D4" ca="1">($B4 - _xlfn.STOCKHISTORY($A4, D$1,D$1,0,0,1))/$B4</f>
        <v>2.8217919364376547E-2</v>
      </c>
      <c r="E4" s="2" cm="1">
        <f t="array" aca="1" ref="E4" ca="1">($B4 - _xlfn.STOCKHISTORY($A4, E$1,E$1,0,0,1))/$B4</f>
        <v>-0.66401318150343958</v>
      </c>
      <c r="F4" s="2" cm="1">
        <f t="array" aca="1" ref="F4" ca="1">($B4 - _xlfn.STOCKHISTORY($A4, F$1,F$1,0,0,1))/$B4</f>
        <v>-0.56521761105467194</v>
      </c>
      <c r="G4" s="2" cm="1">
        <f t="array" aca="1" ref="G4" ca="1">($B4 - _xlfn.STOCKHISTORY($A4, G$1,G$1,0,0,1))/$B4</f>
        <v>-0.34023744901517788</v>
      </c>
      <c r="H4" s="2" cm="1">
        <f t="array" aca="1" ref="H4" ca="1">($B4 - _xlfn.STOCKHISTORY($A4, H$1,H$1,0,0,1))/$B4</f>
        <v>-0.31835251424037042</v>
      </c>
      <c r="I4" s="2" cm="1">
        <f t="array" aca="1" ref="I4" ca="1">($B4 - _xlfn.STOCKHISTORY($A4, I$1,I$1,0,0,1))/$B4</f>
        <v>-0.41060787554396438</v>
      </c>
      <c r="J4" s="2" cm="1">
        <f t="array" aca="1" ref="J4" ca="1">($B4 - _xlfn.STOCKHISTORY($A4, J$1,J$1,0,0,1))/$B4</f>
        <v>0.14416258535377277</v>
      </c>
      <c r="K4" s="2" cm="1">
        <f t="array" aca="1" ref="K4" ca="1">($B4 - _xlfn.STOCKHISTORY($A4, K$1,K$1,0,0,1))/$B4</f>
        <v>-0.40662006641294296</v>
      </c>
    </row>
    <row r="5" spans="1:11" x14ac:dyDescent="0.35">
      <c r="A5" t="e" vm="27">
        <v>#VALUE!</v>
      </c>
      <c r="B5" s="1" cm="1">
        <f t="array" aca="1" ref="B5" ca="1">_FV(A5,"Price")</f>
        <v>0.84730000000000005</v>
      </c>
      <c r="C5" s="2" cm="1">
        <f t="array" aca="1" ref="C5" ca="1">_FV(A5,"Change (%)",TRUE)</f>
        <v>-1.4139999999999999E-3</v>
      </c>
      <c r="D5" s="2" cm="1">
        <f t="array" aca="1" ref="D5" ca="1">($B5 - _xlfn.STOCKHISTORY($A5, D$1,D$1,0,0,1))/$B5</f>
        <v>5.9010976041543777E-3</v>
      </c>
      <c r="E5" s="2" cm="1">
        <f t="array" aca="1" ref="E5" ca="1">($B5 - _xlfn.STOCKHISTORY($A5, E$1,E$1,0,0,1))/$B5</f>
        <v>-1.7349226956213777E-2</v>
      </c>
      <c r="F5" s="2" cm="1">
        <f t="array" aca="1" ref="F5" ca="1">($B5 - _xlfn.STOCKHISTORY($A5, F$1,F$1,0,0,1))/$B5</f>
        <v>-1.8883512333293877E-2</v>
      </c>
      <c r="G5" s="2" cm="1">
        <f t="array" aca="1" ref="G5" ca="1">($B5 - _xlfn.STOCKHISTORY($A5, G$1,G$1,0,0,1))/$B5</f>
        <v>-0.1295881033872299</v>
      </c>
      <c r="H5" s="2" cm="1">
        <f t="array" aca="1" ref="H5" ca="1">($B5 - _xlfn.STOCKHISTORY($A5, H$1,H$1,0,0,1))/$B5</f>
        <v>-7.0105039537353822E-2</v>
      </c>
      <c r="I5" s="2" cm="1">
        <f t="array" aca="1" ref="I5" ca="1">($B5 - _xlfn.STOCKHISTORY($A5, I$1,I$1,0,0,1))/$B5</f>
        <v>-9.5007671426885279E-2</v>
      </c>
      <c r="J5" s="2" cm="1">
        <f t="array" aca="1" ref="J5" ca="1">($B5 - _xlfn.STOCKHISTORY($A5, J$1,J$1,0,0,1))/$B5</f>
        <v>-0.10350525197686769</v>
      </c>
      <c r="K5" s="2" cm="1">
        <f t="array" aca="1" ref="K5" ca="1">($B5 - _xlfn.STOCKHISTORY($A5, K$1,K$1,0,0,1))/$B5</f>
        <v>-4.2133836893662166E-2</v>
      </c>
    </row>
    <row r="6" spans="1:11" x14ac:dyDescent="0.35">
      <c r="A6" t="e" vm="28">
        <v>#VALUE!</v>
      </c>
      <c r="B6" s="1" cm="1">
        <f t="array" aca="1" ref="B6" ca="1">_FV(A6,"Price")</f>
        <v>154.93</v>
      </c>
      <c r="C6" s="2" cm="1">
        <f t="array" aca="1" ref="C6" ca="1">_FV(A6,"Change (%)",TRUE)</f>
        <v>7.1049999999999998E-4</v>
      </c>
      <c r="D6" s="2" cm="1">
        <f t="array" aca="1" ref="D6" ca="1">($B6 - _xlfn.STOCKHISTORY($A6, D$1,D$1,0,0,1))/$B6</f>
        <v>1.4199961272833002E-2</v>
      </c>
      <c r="E6" s="2" cm="1">
        <f t="array" aca="1" ref="E6" ca="1">($B6 - _xlfn.STOCKHISTORY($A6, E$1,E$1,0,0,1))/$B6</f>
        <v>-2.0396308010069041E-2</v>
      </c>
      <c r="F6" s="2" cm="1">
        <f t="array" aca="1" ref="F6" ca="1">($B6 - _xlfn.STOCKHISTORY($A6, F$1,F$1,0,0,1))/$B6</f>
        <v>-3.6790808752339326E-3</v>
      </c>
      <c r="G6" s="2" cm="1">
        <f t="array" aca="1" ref="G6" ca="1">($B6 - _xlfn.STOCKHISTORY($A6, G$1,G$1,0,0,1))/$B6</f>
        <v>1.8589040211708482E-2</v>
      </c>
      <c r="H6" s="2" cm="1">
        <f t="array" aca="1" ref="H6" ca="1">($B6 - _xlfn.STOCKHISTORY($A6, H$1,H$1,0,0,1))/$B6</f>
        <v>4.7440779706964399E-2</v>
      </c>
      <c r="I6" s="2" cm="1">
        <f t="array" aca="1" ref="I6" ca="1">($B6 - _xlfn.STOCKHISTORY($A6, I$1,I$1,0,0,1))/$B6</f>
        <v>3.0465371458077834E-2</v>
      </c>
      <c r="J6" s="2" cm="1">
        <f t="array" aca="1" ref="J6" ca="1">($B6 - _xlfn.STOCKHISTORY($A6, J$1,J$1,0,0,1))/$B6</f>
        <v>0.13412508874975795</v>
      </c>
      <c r="K6" s="2" cm="1">
        <f t="array" aca="1" ref="K6" ca="1">($B6 - _xlfn.STOCKHISTORY($A6, K$1,K$1,0,0,1))/$B6</f>
        <v>0.25772929710191705</v>
      </c>
    </row>
    <row r="7" spans="1:11" x14ac:dyDescent="0.35">
      <c r="A7" t="e" vm="29">
        <v>#VALUE!</v>
      </c>
      <c r="B7" s="1" cm="1">
        <f t="array" aca="1" ref="B7" ca="1">_FV(A7,"Price")</f>
        <v>6.9080000000000004</v>
      </c>
      <c r="C7" s="2" cm="1">
        <f t="array" aca="1" ref="C7" ca="1">_FV(A7,"Change (%)",TRUE)</f>
        <v>0</v>
      </c>
      <c r="D7" s="2" cm="1">
        <f t="array" aca="1" ref="D7" ca="1">($B7 - _xlfn.STOCKHISTORY($A7, D$1,D$1,0,0,1))/$B7</f>
        <v>1.0133178922988651E-3</v>
      </c>
      <c r="E7" s="2" cm="1">
        <f t="array" aca="1" ref="E7" ca="1">($B7 - _xlfn.STOCKHISTORY($A7, E$1,E$1,0,0,1))/$B7</f>
        <v>-8.7000579038794684E-3</v>
      </c>
      <c r="F7" s="2" cm="1">
        <f t="array" aca="1" ref="F7" ca="1">($B7 - _xlfn.STOCKHISTORY($A7, F$1,F$1,0,0,1))/$B7</f>
        <v>-2.8865083960625332E-2</v>
      </c>
      <c r="G7" s="2" cm="1">
        <f t="array" aca="1" ref="G7" ca="1">($B7 - _xlfn.STOCKHISTORY($A7, G$1,G$1,0,0,1))/$B7</f>
        <v>-5.3647944412275564E-2</v>
      </c>
      <c r="H7" s="2" cm="1">
        <f t="array" aca="1" ref="H7" ca="1">($B7 - _xlfn.STOCKHISTORY($A7, H$1,H$1,0,0,1))/$B7</f>
        <v>-3.7116386797915353E-2</v>
      </c>
      <c r="I7" s="2" cm="1">
        <f t="array" aca="1" ref="I7" ca="1">($B7 - _xlfn.STOCKHISTORY($A7, I$1,I$1,0,0,1))/$B7</f>
        <v>-4.1242038216560431E-2</v>
      </c>
      <c r="J7" s="2" t="e" cm="1" vm="3">
        <f t="array" aca="1" ref="J7" ca="1">($B7 - _xlfn.STOCKHISTORY($A7, J$1,J$1,0,0,1))/$B7</f>
        <v>#VALUE!</v>
      </c>
      <c r="K7" s="2" cm="1">
        <f t="array" aca="1" ref="K7" ca="1">($B7 - _xlfn.STOCKHISTORY($A7, K$1,K$1,0,0,1))/$B7</f>
        <v>8.4380428488708803E-2</v>
      </c>
    </row>
    <row r="8" spans="1:11" x14ac:dyDescent="0.35">
      <c r="A8" t="e" vm="30">
        <v>#VALUE!</v>
      </c>
      <c r="B8" s="1" cm="1">
        <f t="array" aca="1" ref="B8" ca="1">_FV(A8,"Price")</f>
        <v>43.7669</v>
      </c>
      <c r="C8" s="2" cm="1">
        <f t="array" aca="1" ref="C8" ca="1">_FV(A8,"Change (%)",TRUE)</f>
        <v>6.4250000000000006E-4</v>
      </c>
      <c r="D8" s="2" cm="1">
        <f t="array" aca="1" ref="D8" ca="1">($B8 - _xlfn.STOCKHISTORY($A8, D$1,D$1,0,0,1))/$B8</f>
        <v>2.8194823028360847E-3</v>
      </c>
      <c r="E8" s="2" cm="1">
        <f t="array" aca="1" ref="E8" ca="1">($B8 - _xlfn.STOCKHISTORY($A8, E$1,E$1,0,0,1))/$B8</f>
        <v>1.1273359547968926E-2</v>
      </c>
      <c r="F8" s="2" cm="1">
        <f t="array" aca="1" ref="F8" ca="1">($B8 - _xlfn.STOCKHISTORY($A8, F$1,F$1,0,0,1))/$B8</f>
        <v>3.2636535829588031E-2</v>
      </c>
      <c r="G8" s="2" cm="1">
        <f t="array" aca="1" ref="G8" ca="1">($B8 - _xlfn.STOCKHISTORY($A8, G$1,G$1,0,0,1))/$B8</f>
        <v>0.17163655639307332</v>
      </c>
      <c r="H8" s="2" cm="1">
        <f t="array" aca="1" ref="H8" ca="1">($B8 - _xlfn.STOCKHISTORY($A8, H$1,H$1,0,0,1))/$B8</f>
        <v>0.23085253924769625</v>
      </c>
      <c r="I8" s="2" cm="1">
        <f t="array" aca="1" ref="I8" ca="1">($B8 - _xlfn.STOCKHISTORY($A8, I$1,I$1,0,0,1))/$B8</f>
        <v>0.29585600076770341</v>
      </c>
      <c r="J8" s="2" cm="1">
        <f t="array" aca="1" ref="J8" ca="1">($B8 - _xlfn.STOCKHISTORY($A8, J$1,J$1,0,0,1))/$B8</f>
        <v>0.56988728925283716</v>
      </c>
      <c r="K8" s="2" cm="1">
        <f t="array" aca="1" ref="K8" ca="1">($B8 - _xlfn.STOCKHISTORY($A8, K$1,K$1,0,0,1))/$B8</f>
        <v>0.68828955215014087</v>
      </c>
    </row>
    <row r="9" spans="1:11" x14ac:dyDescent="0.35">
      <c r="A9" t="e" vm="31">
        <v>#VALUE!</v>
      </c>
      <c r="B9" s="1" cm="1">
        <f t="array" aca="1" ref="B9" ca="1">_FV(A9,"Price")</f>
        <v>91.045000000000002</v>
      </c>
      <c r="C9" s="2" cm="1">
        <f t="array" aca="1" ref="C9" ca="1">_FV(A9,"Change (%)",TRUE)</f>
        <v>2.9740000000000001E-3</v>
      </c>
      <c r="D9" s="2" cm="1">
        <f t="array" aca="1" ref="D9" ca="1">($B9 - _xlfn.STOCKHISTORY($A9, D$1,D$1,0,0,1))/$B9</f>
        <v>5.5027733538360671E-3</v>
      </c>
      <c r="E9" s="2" cm="1">
        <f t="array" aca="1" ref="E9" ca="1">($B9 - _xlfn.STOCKHISTORY($A9, E$1,E$1,0,0,1))/$B9</f>
        <v>3.9870393761326766E-3</v>
      </c>
      <c r="F9" s="2" cm="1">
        <f t="array" aca="1" ref="F9" ca="1">($B9 - _xlfn.STOCKHISTORY($A9, F$1,F$1,0,0,1))/$B9</f>
        <v>2.7700587621505908E-2</v>
      </c>
      <c r="G9" s="2" cm="1">
        <f t="array" aca="1" ref="G9" ca="1">($B9 - _xlfn.STOCKHISTORY($A9, G$1,G$1,0,0,1))/$B9</f>
        <v>4.5889395353945824E-2</v>
      </c>
      <c r="H9" s="2" cm="1">
        <f t="array" aca="1" ref="H9" ca="1">($B9 - _xlfn.STOCKHISTORY($A9, H$1,H$1,0,0,1))/$B9</f>
        <v>7.869734746553908E-2</v>
      </c>
      <c r="I9" s="2" cm="1">
        <f t="array" aca="1" ref="I9" ca="1">($B9 - _xlfn.STOCKHISTORY($A9, I$1,I$1,0,0,1))/$B9</f>
        <v>8.8220110934153398E-2</v>
      </c>
      <c r="J9" s="2" cm="1">
        <f t="array" aca="1" ref="J9" ca="1">($B9 - _xlfn.STOCKHISTORY($A9, J$1,J$1,0,0,1))/$B9</f>
        <v>9.1108792355428653E-2</v>
      </c>
      <c r="K9" s="2" cm="1">
        <f t="array" aca="1" ref="K9" ca="1">($B9 - _xlfn.STOCKHISTORY($A9, K$1,K$1,0,0,1))/$B9</f>
        <v>0.17985501674995877</v>
      </c>
    </row>
    <row r="10" spans="1:11" x14ac:dyDescent="0.35">
      <c r="A10" t="e" vm="32">
        <v>#VALUE!</v>
      </c>
      <c r="B10" s="1" cm="1">
        <f t="array" aca="1" ref="B10" ca="1">_FV(A10,"Price")</f>
        <v>1.2667999999999999</v>
      </c>
      <c r="C10" s="2" cm="1">
        <f t="array" aca="1" ref="C10" ca="1">_FV(A10,"Change (%)",TRUE)</f>
        <v>7.8949999999999995E-5</v>
      </c>
      <c r="D10" s="2" cm="1">
        <f t="array" aca="1" ref="D10" ca="1">($B10 - _xlfn.STOCKHISTORY($A10, D$1,D$1,0,0,1))/$B10</f>
        <v>3.9469529523207241E-3</v>
      </c>
      <c r="E10" s="2" cm="1">
        <f t="array" aca="1" ref="E10" ca="1">($B10 - _xlfn.STOCKHISTORY($A10, E$1,E$1,0,0,1))/$B10</f>
        <v>-1.7287653931165166E-2</v>
      </c>
      <c r="F10" s="2" cm="1">
        <f t="array" aca="1" ref="F10" ca="1">($B10 - _xlfn.STOCKHISTORY($A10, F$1,F$1,0,0,1))/$B10</f>
        <v>-2.7470792548152958E-2</v>
      </c>
      <c r="G10" s="2" cm="1">
        <f t="array" aca="1" ref="G10" ca="1">($B10 - _xlfn.STOCKHISTORY($A10, G$1,G$1,0,0,1))/$B10</f>
        <v>-5.8967477107672868E-2</v>
      </c>
      <c r="H10" s="2" cm="1">
        <f t="array" aca="1" ref="H10" ca="1">($B10 - _xlfn.STOCKHISTORY($A10, H$1,H$1,0,0,1))/$B10</f>
        <v>-3.828544363751183E-2</v>
      </c>
      <c r="I10" s="2" cm="1">
        <f t="array" aca="1" ref="I10" ca="1">($B10 - _xlfn.STOCKHISTORY($A10, I$1,I$1,0,0,1))/$B10</f>
        <v>-6.236185664666892E-2</v>
      </c>
      <c r="J10" s="2" cm="1">
        <f t="array" aca="1" ref="J10" ca="1">($B10 - _xlfn.STOCKHISTORY($A10, J$1,J$1,0,0,1))/$B10</f>
        <v>-5.4862646037259329E-2</v>
      </c>
      <c r="K10" s="2" cm="1">
        <f t="array" aca="1" ref="K10" ca="1">($B10 - _xlfn.STOCKHISTORY($A10, K$1,K$1,0,0,1))/$B10</f>
        <v>-6.2125039469529519E-2</v>
      </c>
    </row>
    <row r="11" spans="1:11" x14ac:dyDescent="0.35">
      <c r="A11" t="e" vm="33">
        <v>#VALUE!</v>
      </c>
      <c r="B11" s="1" cm="1">
        <f t="array" aca="1" ref="B11" ca="1">_FV(A11,"Price")</f>
        <v>31.536999999999999</v>
      </c>
      <c r="C11" s="2" cm="1">
        <f t="array" aca="1" ref="C11" ca="1">_FV(A11,"Change (%)",TRUE)</f>
        <v>2.5369999999999999E-4</v>
      </c>
      <c r="D11" s="2" cm="1">
        <f t="array" aca="1" ref="D11" ca="1">($B11 - _xlfn.STOCKHISTORY($A11, D$1,D$1,0,0,1))/$B11</f>
        <v>4.4075213241589039E-3</v>
      </c>
      <c r="E11" s="2" cm="1">
        <f t="array" aca="1" ref="E11" ca="1">($B11 - _xlfn.STOCKHISTORY($A11, E$1,E$1,0,0,1))/$B11</f>
        <v>-2.2513238418366208E-3</v>
      </c>
      <c r="F11" s="2" cm="1">
        <f t="array" aca="1" ref="F11" ca="1">($B11 - _xlfn.STOCKHISTORY($A11, F$1,F$1,0,0,1))/$B11</f>
        <v>1.3761613343057283E-2</v>
      </c>
      <c r="G11" s="2" cm="1">
        <f t="array" aca="1" ref="G11" ca="1">($B11 - _xlfn.STOCKHISTORY($A11, G$1,G$1,0,0,1))/$B11</f>
        <v>-3.7860291086660197E-2</v>
      </c>
      <c r="H11" s="2" cm="1">
        <f t="array" aca="1" ref="H11" ca="1">($B11 - _xlfn.STOCKHISTORY($A11, H$1,H$1,0,0,1))/$B11</f>
        <v>-1.8866727970320539E-2</v>
      </c>
      <c r="I11" s="2" cm="1">
        <f t="array" aca="1" ref="I11" ca="1">($B11 - _xlfn.STOCKHISTORY($A11, I$1,I$1,0,0,1))/$B11</f>
        <v>5.9295430763863909E-3</v>
      </c>
      <c r="J11" s="2" cm="1">
        <f t="array" aca="1" ref="J11" ca="1">($B11 - _xlfn.STOCKHISTORY($A11, J$1,J$1,0,0,1))/$B11</f>
        <v>3.6655357199479939E-2</v>
      </c>
      <c r="K11" s="2" cm="1">
        <f t="array" aca="1" ref="K11" ca="1">($B11 - _xlfn.STOCKHISTORY($A11, K$1,K$1,0,0,1))/$B11</f>
        <v>0.11719567492152069</v>
      </c>
    </row>
    <row r="12" spans="1:11" x14ac:dyDescent="0.35">
      <c r="E12" s="2"/>
      <c r="F12" s="2"/>
      <c r="G12" s="2"/>
    </row>
    <row r="13" spans="1:11" x14ac:dyDescent="0.35">
      <c r="A13" s="10" t="s">
        <v>23</v>
      </c>
      <c r="E13" s="2"/>
      <c r="F13" s="2"/>
      <c r="G13" s="2"/>
    </row>
    <row r="14" spans="1:11" x14ac:dyDescent="0.35">
      <c r="A14" t="e" vm="34">
        <v>#VALUE!</v>
      </c>
      <c r="B14" s="1" cm="1">
        <f t="array" aca="1" ref="B14" ca="1">_FV(A14,"Price")</f>
        <v>5028.8</v>
      </c>
      <c r="C14" s="2" cm="1">
        <f t="array" aca="1" ref="C14" ca="1">_FV(A14,"Change (%)",TRUE)</f>
        <v>3.8529999999999997E-3</v>
      </c>
      <c r="D14" s="2" cm="1">
        <f t="array" aca="1" ref="D14" ca="1">($B14 - _xlfn.STOCKHISTORY($A14, D$1,D$1,0,0,1))/$B14</f>
        <v>1.5987909640470997E-2</v>
      </c>
      <c r="E14" s="2" cm="1">
        <f t="array" aca="1" ref="E14" ca="1">($B14 - _xlfn.STOCKHISTORY($A14, E$1,E$1,0,0,1))/$B14</f>
        <v>8.6183582564428998E-2</v>
      </c>
      <c r="F14" s="2" cm="1">
        <f t="array" aca="1" ref="F14" ca="1">($B14 - _xlfn.STOCKHISTORY($A14, F$1,F$1,0,0,1))/$B14</f>
        <v>0.19135777919185495</v>
      </c>
      <c r="G14" s="2" cm="1">
        <f t="array" aca="1" ref="G14" ca="1">($B14 - _xlfn.STOCKHISTORY($A14, G$1,G$1,0,0,1))/$B14</f>
        <v>0.41357779191854915</v>
      </c>
      <c r="H14" s="2" cm="1">
        <f t="array" aca="1" ref="H14" ca="1">($B14 - _xlfn.STOCKHISTORY($A14, H$1,H$1,0,0,1))/$B14</f>
        <v>0.49534680241807189</v>
      </c>
      <c r="I14" s="2" cm="1">
        <f t="array" aca="1" ref="I14" ca="1">($B14 - _xlfn.STOCKHISTORY($A14, I$1,I$1,0,0,1))/$B14</f>
        <v>0.59749840916321983</v>
      </c>
      <c r="J14" s="2" cm="1">
        <f t="array" aca="1" ref="J14" ca="1">($B14 - _xlfn.STOCKHISTORY($A14, J$1,J$1,0,0,1))/$B14</f>
        <v>0.63402799872733062</v>
      </c>
      <c r="K14" s="2" cm="1">
        <f t="array" aca="1" ref="K14" ca="1">($B14 - _xlfn.STOCKHISTORY($A14, K$1,K$1,0,0,1))/$B14</f>
        <v>0.62221603563474381</v>
      </c>
    </row>
    <row r="15" spans="1:11" x14ac:dyDescent="0.35">
      <c r="A15" t="e" vm="35">
        <v>#VALUE!</v>
      </c>
      <c r="B15" s="1" cm="1">
        <f t="array" aca="1" ref="B15" ca="1">_FV(A15,"Price")</f>
        <v>78.790000000000006</v>
      </c>
      <c r="C15" s="2" cm="1">
        <f t="array" aca="1" ref="C15" ca="1">_FV(A15,"Change (%)",TRUE)</f>
        <v>1.5361E-2</v>
      </c>
      <c r="D15" s="2" cm="1">
        <f t="array" aca="1" ref="D15" ca="1">($B15 - _xlfn.STOCKHISTORY($A15, D$1,D$1,0,0,1))/$B15</f>
        <v>3.9446630283030894E-2</v>
      </c>
      <c r="E15" s="2" cm="1">
        <f t="array" aca="1" ref="E15" ca="1">($B15 - _xlfn.STOCKHISTORY($A15, E$1,E$1,0,0,1))/$B15</f>
        <v>-0.1237085924609722</v>
      </c>
      <c r="F15" s="2" cm="1">
        <f t="array" aca="1" ref="F15" ca="1">($B15 - _xlfn.STOCKHISTORY($A15, F$1,F$1,0,0,1))/$B15</f>
        <v>0.35878918644498037</v>
      </c>
      <c r="G15" s="2" cm="1">
        <f t="array" aca="1" ref="G15" ca="1">($B15 - _xlfn.STOCKHISTORY($A15, G$1,G$1,0,0,1))/$B15</f>
        <v>0.57643101916486872</v>
      </c>
      <c r="H15" s="2" cm="1">
        <f t="array" aca="1" ref="H15" ca="1">($B15 - _xlfn.STOCKHISTORY($A15, H$1,H$1,0,0,1))/$B15</f>
        <v>0.63384947328341157</v>
      </c>
      <c r="I15" s="2" cm="1">
        <f t="array" aca="1" ref="I15" ca="1">($B15 - _xlfn.STOCKHISTORY($A15, I$1,I$1,0,0,1))/$B15</f>
        <v>0.702056098489656</v>
      </c>
      <c r="J15" s="2" cm="1">
        <f t="array" aca="1" ref="J15" ca="1">($B15 - _xlfn.STOCKHISTORY($A15, J$1,J$1,0,0,1))/$B15</f>
        <v>0.72439395862419087</v>
      </c>
      <c r="K15" s="2" cm="1">
        <f t="array" aca="1" ref="K15" ca="1">($B15 - _xlfn.STOCKHISTORY($A15, K$1,K$1,0,0,1))/$B15</f>
        <v>0.69549435207513643</v>
      </c>
    </row>
    <row r="16" spans="1:11" x14ac:dyDescent="0.35">
      <c r="A16" t="e" vm="36">
        <v>#VALUE!</v>
      </c>
      <c r="B16" s="1" cm="1">
        <f t="array" aca="1" ref="B16" ca="1">_FV(A16,"Price")</f>
        <v>2106.5</v>
      </c>
      <c r="C16" s="2" cm="1">
        <f t="array" aca="1" ref="C16" ca="1">_FV(A16,"Change (%)",TRUE)</f>
        <v>-3.029E-3</v>
      </c>
      <c r="D16" s="2" cm="1">
        <f t="array" aca="1" ref="D16" ca="1">($B16 - _xlfn.STOCKHISTORY($A16, D$1,D$1,0,0,1))/$B16</f>
        <v>4.0256349394730571E-2</v>
      </c>
      <c r="E16" s="2" cm="1">
        <f t="array" aca="1" ref="E16" ca="1">($B16 - _xlfn.STOCKHISTORY($A16, E$1,E$1,0,0,1))/$B16</f>
        <v>-0.10263470211250882</v>
      </c>
      <c r="F16" s="2" cm="1">
        <f t="array" aca="1" ref="F16" ca="1">($B16 - _xlfn.STOCKHISTORY($A16, F$1,F$1,0,0,1))/$B16</f>
        <v>0.26171374317588414</v>
      </c>
      <c r="G16" s="2" cm="1">
        <f t="array" aca="1" ref="G16" ca="1">($B16 - _xlfn.STOCKHISTORY($A16, G$1,G$1,0,0,1))/$B16</f>
        <v>0.52238309992879184</v>
      </c>
      <c r="H16" s="2" cm="1">
        <f t="array" aca="1" ref="H16" ca="1">($B16 - _xlfn.STOCKHISTORY($A16, H$1,H$1,0,0,1))/$B16</f>
        <v>0.54312841205791595</v>
      </c>
      <c r="I16" s="2" cm="1">
        <f t="array" aca="1" ref="I16" ca="1">($B16 - _xlfn.STOCKHISTORY($A16, I$1,I$1,0,0,1))/$B16</f>
        <v>0.56634227391407543</v>
      </c>
      <c r="J16" s="2" cm="1">
        <f t="array" aca="1" ref="J16" ca="1">($B16 - _xlfn.STOCKHISTORY($A16, J$1,J$1,0,0,1))/$B16</f>
        <v>0.56259197721338705</v>
      </c>
      <c r="K16" s="2" cm="1">
        <f t="array" aca="1" ref="K16" ca="1">($B16 - _xlfn.STOCKHISTORY($A16, K$1,K$1,0,0,1))/$B16</f>
        <v>0.48882031806313792</v>
      </c>
    </row>
    <row r="17" spans="1:11" x14ac:dyDescent="0.35">
      <c r="A17" t="e" vm="37">
        <v>#VALUE!</v>
      </c>
      <c r="B17" s="1" cm="1">
        <f t="array" aca="1" ref="B17" ca="1">_FV(A17,"Price")</f>
        <v>3.0129999999999999</v>
      </c>
      <c r="C17" s="2" cm="1">
        <f t="array" aca="1" ref="C17" ca="1">_FV(A17,"Change (%)",TRUE)</f>
        <v>6.642000000000001E-4</v>
      </c>
      <c r="D17" s="2" cm="1">
        <f t="array" aca="1" ref="D17" ca="1">($B17 - _xlfn.STOCKHISTORY($A17, D$1,D$1,0,0,1))/$B17</f>
        <v>-6.770660471291079E-2</v>
      </c>
      <c r="E17" s="2" cm="1">
        <f t="array" aca="1" ref="E17" ca="1">($B17 - _xlfn.STOCKHISTORY($A17, E$1,E$1,0,0,1))/$B17</f>
        <v>-2.987056090275483E-2</v>
      </c>
      <c r="F17" s="2" cm="1">
        <f t="array" aca="1" ref="F17" ca="1">($B17 - _xlfn.STOCKHISTORY($A17, F$1,F$1,0,0,1))/$B17</f>
        <v>-0.45071357451045491</v>
      </c>
      <c r="G17" s="2" cm="1">
        <f t="array" aca="1" ref="G17" ca="1">($B17 - _xlfn.STOCKHISTORY($A17, G$1,G$1,0,0,1))/$B17</f>
        <v>-0.32990375041486886</v>
      </c>
      <c r="H17" s="2" cm="1">
        <f t="array" aca="1" ref="H17" ca="1">($B17 - _xlfn.STOCKHISTORY($A17, H$1,H$1,0,0,1))/$B17</f>
        <v>0.29538665781612999</v>
      </c>
      <c r="I17" s="2" cm="1">
        <f t="array" aca="1" ref="I17" ca="1">($B17 - _xlfn.STOCKHISTORY($A17, I$1,I$1,0,0,1))/$B17</f>
        <v>0.46598075008297379</v>
      </c>
      <c r="J17" s="2" cm="1">
        <f t="array" aca="1" ref="J17" ca="1">($B17 - _xlfn.STOCKHISTORY($A17, J$1,J$1,0,0,1))/$B17</f>
        <v>0.24493859940258877</v>
      </c>
      <c r="K17" s="2" cm="1">
        <f t="array" aca="1" ref="K17" ca="1">($B17 - _xlfn.STOCKHISTORY($A17, K$1,K$1,0,0,1))/$B17</f>
        <v>-0.47062728177895791</v>
      </c>
    </row>
    <row r="18" spans="1:11" x14ac:dyDescent="0.35">
      <c r="E18" s="2"/>
      <c r="F18" s="2"/>
      <c r="G18" s="2"/>
    </row>
    <row r="19" spans="1:11" x14ac:dyDescent="0.35">
      <c r="E19" s="2"/>
      <c r="F19" s="2"/>
      <c r="G19" s="2"/>
    </row>
    <row r="20" spans="1:11" x14ac:dyDescent="0.35">
      <c r="E20" s="2"/>
      <c r="F20" s="2"/>
      <c r="G20" s="2"/>
    </row>
    <row r="21" spans="1:11" x14ac:dyDescent="0.35">
      <c r="E21" s="2"/>
      <c r="F21" s="2"/>
      <c r="G21" s="2"/>
    </row>
    <row r="22" spans="1:11" x14ac:dyDescent="0.35">
      <c r="E22" s="2"/>
      <c r="F22" s="2"/>
      <c r="G22" s="2"/>
    </row>
    <row r="23" spans="1:11" x14ac:dyDescent="0.35">
      <c r="E23" s="2"/>
      <c r="F23" s="2"/>
      <c r="G23" s="2"/>
    </row>
    <row r="24" spans="1:11" x14ac:dyDescent="0.35">
      <c r="E24" s="2"/>
      <c r="F24" s="2"/>
      <c r="G24" s="2"/>
    </row>
    <row r="25" spans="1:11" x14ac:dyDescent="0.35">
      <c r="E25" s="2"/>
      <c r="F25" s="2"/>
      <c r="G25" s="2"/>
    </row>
    <row r="26" spans="1:11" x14ac:dyDescent="0.35">
      <c r="E26" s="2"/>
      <c r="F26" s="2"/>
      <c r="G26" s="2"/>
    </row>
    <row r="27" spans="1:11" x14ac:dyDescent="0.35">
      <c r="E27" s="2"/>
      <c r="F27" s="2"/>
      <c r="G27" s="2"/>
    </row>
    <row r="28" spans="1:11" x14ac:dyDescent="0.35">
      <c r="E28" s="2"/>
      <c r="F28" s="2"/>
      <c r="G28" s="2"/>
    </row>
    <row r="29" spans="1:11" x14ac:dyDescent="0.35">
      <c r="E29" s="2"/>
      <c r="F29" s="2"/>
      <c r="G29" s="2"/>
    </row>
    <row r="30" spans="1:11" x14ac:dyDescent="0.35">
      <c r="E30" s="2"/>
      <c r="F30" s="2"/>
      <c r="G30" s="2"/>
    </row>
    <row r="31" spans="1:11" x14ac:dyDescent="0.35">
      <c r="E31" s="2"/>
      <c r="F31" s="2"/>
      <c r="G31" s="2"/>
    </row>
    <row r="32" spans="1:11" x14ac:dyDescent="0.35">
      <c r="E32" s="2"/>
      <c r="F32" s="2"/>
      <c r="G32" s="2"/>
    </row>
    <row r="33" spans="5:7" x14ac:dyDescent="0.35">
      <c r="E33" s="2"/>
      <c r="F33" s="2"/>
      <c r="G33" s="2"/>
    </row>
    <row r="34" spans="5:7" x14ac:dyDescent="0.35">
      <c r="E34" s="2"/>
      <c r="F34" s="2"/>
      <c r="G34" s="2"/>
    </row>
    <row r="35" spans="5:7" x14ac:dyDescent="0.35">
      <c r="E35" s="2"/>
      <c r="F35" s="2"/>
      <c r="G35" s="2"/>
    </row>
    <row r="36" spans="5:7" x14ac:dyDescent="0.35">
      <c r="E36" s="2"/>
      <c r="F36" s="2"/>
      <c r="G36" s="2"/>
    </row>
    <row r="37" spans="5:7" x14ac:dyDescent="0.35">
      <c r="E37" s="2"/>
      <c r="F37" s="2"/>
      <c r="G37" s="2"/>
    </row>
    <row r="38" spans="5:7" x14ac:dyDescent="0.35">
      <c r="E38" s="2"/>
      <c r="F38" s="2"/>
      <c r="G38" s="2"/>
    </row>
    <row r="39" spans="5:7" x14ac:dyDescent="0.35">
      <c r="E39" s="2"/>
      <c r="F39" s="2"/>
      <c r="G39" s="2"/>
    </row>
    <row r="40" spans="5:7" x14ac:dyDescent="0.35">
      <c r="E40" s="2"/>
      <c r="F40" s="2"/>
      <c r="G40" s="2"/>
    </row>
    <row r="41" spans="5:7" x14ac:dyDescent="0.35">
      <c r="E41" s="2"/>
      <c r="F41" s="2"/>
      <c r="G41" s="2"/>
    </row>
    <row r="42" spans="5:7" x14ac:dyDescent="0.35">
      <c r="E42" s="2"/>
      <c r="F42" s="2"/>
      <c r="G42" s="2"/>
    </row>
    <row r="43" spans="5:7" x14ac:dyDescent="0.35">
      <c r="E43" s="2"/>
      <c r="F43" s="2"/>
      <c r="G43" s="2"/>
    </row>
    <row r="44" spans="5:7" x14ac:dyDescent="0.35">
      <c r="E44" s="2"/>
      <c r="F44" s="2"/>
      <c r="G44" s="2"/>
    </row>
    <row r="45" spans="5:7" x14ac:dyDescent="0.35">
      <c r="E45" s="2"/>
      <c r="F45" s="2"/>
      <c r="G45" s="2"/>
    </row>
    <row r="46" spans="5:7" x14ac:dyDescent="0.35">
      <c r="E46" s="2"/>
      <c r="F46" s="2"/>
      <c r="G46" s="2"/>
    </row>
    <row r="47" spans="5:7" x14ac:dyDescent="0.35">
      <c r="E47" s="2"/>
      <c r="F47" s="2"/>
      <c r="G47" s="2"/>
    </row>
    <row r="48" spans="5:7" x14ac:dyDescent="0.35">
      <c r="E48" s="2"/>
      <c r="F48" s="2"/>
      <c r="G48" s="2"/>
    </row>
    <row r="49" spans="5:7" x14ac:dyDescent="0.35">
      <c r="E49" s="2"/>
      <c r="F49" s="2"/>
      <c r="G49" s="2"/>
    </row>
    <row r="50" spans="5:7" x14ac:dyDescent="0.35">
      <c r="E50" s="2"/>
      <c r="F50" s="2"/>
      <c r="G50" s="2"/>
    </row>
    <row r="51" spans="5:7" x14ac:dyDescent="0.35">
      <c r="E51" s="2"/>
      <c r="F51" s="2"/>
      <c r="G51" s="2"/>
    </row>
    <row r="52" spans="5:7" x14ac:dyDescent="0.35">
      <c r="E52" s="2"/>
      <c r="F52" s="2"/>
      <c r="G52" s="2"/>
    </row>
    <row r="53" spans="5:7" x14ac:dyDescent="0.35">
      <c r="E53" s="2"/>
      <c r="F53" s="2"/>
      <c r="G53" s="2"/>
    </row>
    <row r="54" spans="5:7" x14ac:dyDescent="0.35">
      <c r="E54" s="2"/>
      <c r="F54" s="2"/>
      <c r="G54" s="2"/>
    </row>
    <row r="55" spans="5:7" x14ac:dyDescent="0.35">
      <c r="E55" s="2"/>
      <c r="F55" s="2"/>
      <c r="G55" s="2"/>
    </row>
    <row r="56" spans="5:7" x14ac:dyDescent="0.35">
      <c r="E56" s="2"/>
      <c r="F56" s="2"/>
      <c r="G56" s="2"/>
    </row>
    <row r="57" spans="5:7" x14ac:dyDescent="0.35">
      <c r="E57" s="2"/>
      <c r="F57" s="2"/>
      <c r="G57" s="2"/>
    </row>
    <row r="58" spans="5:7" x14ac:dyDescent="0.35">
      <c r="E58" s="2"/>
      <c r="F58" s="2"/>
      <c r="G58" s="2"/>
    </row>
    <row r="59" spans="5:7" x14ac:dyDescent="0.35">
      <c r="E59" s="2"/>
      <c r="F59" s="2"/>
      <c r="G59" s="2"/>
    </row>
    <row r="60" spans="5:7" x14ac:dyDescent="0.35">
      <c r="E60" s="2"/>
      <c r="F60" s="2"/>
      <c r="G60" s="2"/>
    </row>
    <row r="61" spans="5:7" x14ac:dyDescent="0.35">
      <c r="E61" s="2"/>
      <c r="F61" s="2"/>
      <c r="G61" s="2"/>
    </row>
    <row r="62" spans="5:7" x14ac:dyDescent="0.35">
      <c r="E62" s="2"/>
      <c r="F62" s="2"/>
      <c r="G62" s="2"/>
    </row>
    <row r="63" spans="5:7" x14ac:dyDescent="0.35">
      <c r="E63" s="2"/>
      <c r="F63" s="2"/>
      <c r="G63" s="2"/>
    </row>
    <row r="64" spans="5:7" x14ac:dyDescent="0.35">
      <c r="E64" s="2"/>
      <c r="F64" s="2"/>
      <c r="G64" s="2"/>
    </row>
    <row r="65" spans="5:7" x14ac:dyDescent="0.35">
      <c r="E65" s="2"/>
      <c r="F65" s="2"/>
      <c r="G65" s="2"/>
    </row>
    <row r="66" spans="5:7" x14ac:dyDescent="0.35">
      <c r="E66" s="2"/>
      <c r="F66" s="2"/>
      <c r="G66" s="2"/>
    </row>
    <row r="67" spans="5:7" x14ac:dyDescent="0.35">
      <c r="E67" s="2"/>
      <c r="F67" s="2"/>
      <c r="G67" s="2"/>
    </row>
    <row r="68" spans="5:7" x14ac:dyDescent="0.35">
      <c r="E68" s="2"/>
      <c r="F68" s="2"/>
      <c r="G68" s="2"/>
    </row>
    <row r="69" spans="5:7" x14ac:dyDescent="0.35">
      <c r="E69" s="2"/>
      <c r="F69" s="2"/>
      <c r="G69" s="2"/>
    </row>
    <row r="70" spans="5:7" x14ac:dyDescent="0.35">
      <c r="E70" s="2"/>
      <c r="F70" s="2"/>
      <c r="G70" s="2"/>
    </row>
    <row r="71" spans="5:7" x14ac:dyDescent="0.35">
      <c r="E71" s="2"/>
      <c r="F71" s="2"/>
      <c r="G71" s="2"/>
    </row>
    <row r="72" spans="5:7" x14ac:dyDescent="0.35">
      <c r="E72" s="2"/>
      <c r="F72" s="2"/>
      <c r="G72" s="2"/>
    </row>
    <row r="73" spans="5:7" x14ac:dyDescent="0.35">
      <c r="E73" s="2"/>
      <c r="F73" s="2"/>
      <c r="G73" s="2"/>
    </row>
    <row r="74" spans="5:7" x14ac:dyDescent="0.35">
      <c r="E74" s="2"/>
      <c r="F74" s="2"/>
      <c r="G74" s="2"/>
    </row>
    <row r="75" spans="5:7" x14ac:dyDescent="0.35">
      <c r="E75" s="2"/>
      <c r="F75" s="2"/>
      <c r="G75" s="2"/>
    </row>
    <row r="76" spans="5:7" x14ac:dyDescent="0.35">
      <c r="E76" s="2"/>
      <c r="F76" s="2"/>
      <c r="G76" s="2"/>
    </row>
    <row r="77" spans="5:7" x14ac:dyDescent="0.35">
      <c r="E77" s="2"/>
      <c r="F77" s="2"/>
      <c r="G77" s="2"/>
    </row>
    <row r="78" spans="5:7" x14ac:dyDescent="0.35">
      <c r="E78" s="2"/>
      <c r="F78" s="2"/>
      <c r="G78" s="2"/>
    </row>
    <row r="79" spans="5:7" x14ac:dyDescent="0.35">
      <c r="E79" s="2"/>
      <c r="F79" s="2"/>
      <c r="G79" s="2"/>
    </row>
    <row r="80" spans="5:7" x14ac:dyDescent="0.35">
      <c r="E80" s="2"/>
      <c r="F80" s="2"/>
      <c r="G80" s="2"/>
    </row>
    <row r="81" spans="5:7" x14ac:dyDescent="0.35">
      <c r="E81" s="2"/>
      <c r="F81" s="2"/>
      <c r="G81" s="2"/>
    </row>
    <row r="82" spans="5:7" x14ac:dyDescent="0.35">
      <c r="E82" s="2"/>
      <c r="F82" s="2"/>
      <c r="G82" s="2"/>
    </row>
    <row r="83" spans="5:7" x14ac:dyDescent="0.35">
      <c r="E83" s="2"/>
      <c r="F83" s="2"/>
      <c r="G83" s="2"/>
    </row>
    <row r="84" spans="5:7" x14ac:dyDescent="0.35">
      <c r="E84" s="2"/>
      <c r="F84" s="2"/>
      <c r="G84" s="2"/>
    </row>
    <row r="85" spans="5:7" x14ac:dyDescent="0.35">
      <c r="E85" s="2"/>
      <c r="F85" s="2"/>
      <c r="G85" s="2"/>
    </row>
    <row r="86" spans="5:7" x14ac:dyDescent="0.35">
      <c r="E86" s="2"/>
      <c r="F86" s="2"/>
      <c r="G86" s="2"/>
    </row>
    <row r="87" spans="5:7" x14ac:dyDescent="0.35">
      <c r="E87" s="2"/>
      <c r="F87" s="2"/>
      <c r="G87" s="2"/>
    </row>
    <row r="88" spans="5:7" x14ac:dyDescent="0.35">
      <c r="E88" s="2"/>
      <c r="F88" s="2"/>
      <c r="G88" s="2"/>
    </row>
    <row r="89" spans="5:7" x14ac:dyDescent="0.35">
      <c r="E89" s="2"/>
      <c r="F89" s="2"/>
      <c r="G89" s="2"/>
    </row>
    <row r="90" spans="5:7" x14ac:dyDescent="0.35">
      <c r="E90" s="2"/>
      <c r="F90" s="2"/>
      <c r="G90" s="2"/>
    </row>
    <row r="91" spans="5:7" x14ac:dyDescent="0.35">
      <c r="E91" s="2"/>
      <c r="F91" s="2"/>
      <c r="G91" s="2"/>
    </row>
    <row r="92" spans="5:7" x14ac:dyDescent="0.35">
      <c r="E92" s="2"/>
      <c r="F92" s="2"/>
      <c r="G92" s="2"/>
    </row>
    <row r="93" spans="5:7" x14ac:dyDescent="0.35">
      <c r="E93" s="2"/>
      <c r="F93" s="2"/>
      <c r="G93" s="2"/>
    </row>
    <row r="94" spans="5:7" x14ac:dyDescent="0.35">
      <c r="E94" s="2"/>
      <c r="F94" s="2"/>
      <c r="G94" s="2"/>
    </row>
    <row r="95" spans="5:7" x14ac:dyDescent="0.35">
      <c r="E95" s="2"/>
      <c r="F95" s="2"/>
      <c r="G95" s="2"/>
    </row>
    <row r="96" spans="5:7" x14ac:dyDescent="0.35">
      <c r="E96" s="2"/>
      <c r="F96" s="2"/>
      <c r="G96" s="2"/>
    </row>
    <row r="97" spans="5:7" x14ac:dyDescent="0.35">
      <c r="E97" s="2"/>
      <c r="F97" s="2"/>
      <c r="G97" s="2"/>
    </row>
    <row r="98" spans="5:7" x14ac:dyDescent="0.35">
      <c r="E98" s="2"/>
      <c r="F98" s="2"/>
      <c r="G98" s="2"/>
    </row>
    <row r="99" spans="5:7" x14ac:dyDescent="0.35">
      <c r="E99" s="2"/>
      <c r="F99" s="2"/>
      <c r="G99" s="2"/>
    </row>
    <row r="100" spans="5:7" x14ac:dyDescent="0.35">
      <c r="E100" s="2"/>
      <c r="F100" s="2"/>
      <c r="G100" s="2"/>
    </row>
    <row r="101" spans="5:7" x14ac:dyDescent="0.35">
      <c r="E101" s="2"/>
      <c r="F101" s="2"/>
      <c r="G101" s="2"/>
    </row>
    <row r="102" spans="5:7" x14ac:dyDescent="0.35">
      <c r="E102" s="2"/>
      <c r="F102" s="2"/>
      <c r="G102" s="2"/>
    </row>
    <row r="103" spans="5:7" x14ac:dyDescent="0.35">
      <c r="E103" s="2"/>
      <c r="F103" s="2"/>
      <c r="G103" s="2"/>
    </row>
    <row r="104" spans="5:7" x14ac:dyDescent="0.35">
      <c r="E104" s="2"/>
      <c r="F104" s="2"/>
      <c r="G104" s="2"/>
    </row>
    <row r="105" spans="5:7" x14ac:dyDescent="0.35">
      <c r="E105" s="2"/>
      <c r="F105" s="2"/>
      <c r="G105" s="2"/>
    </row>
    <row r="106" spans="5:7" x14ac:dyDescent="0.35">
      <c r="E106" s="2"/>
      <c r="F106" s="2"/>
      <c r="G106" s="2"/>
    </row>
    <row r="107" spans="5:7" x14ac:dyDescent="0.35">
      <c r="E107" s="2"/>
      <c r="F107" s="2"/>
      <c r="G107" s="2"/>
    </row>
    <row r="108" spans="5:7" x14ac:dyDescent="0.35">
      <c r="E108" s="2"/>
      <c r="F108" s="2"/>
      <c r="G108" s="2"/>
    </row>
    <row r="109" spans="5:7" x14ac:dyDescent="0.35">
      <c r="E109" s="2"/>
      <c r="F109" s="2"/>
      <c r="G109" s="2"/>
    </row>
    <row r="110" spans="5:7" x14ac:dyDescent="0.35">
      <c r="E110" s="2"/>
      <c r="F110" s="2"/>
      <c r="G110" s="2"/>
    </row>
    <row r="111" spans="5:7" x14ac:dyDescent="0.35">
      <c r="E111" s="2"/>
      <c r="F111" s="2"/>
      <c r="G111" s="2"/>
    </row>
    <row r="112" spans="5:7" x14ac:dyDescent="0.35">
      <c r="E112" s="2"/>
      <c r="F112" s="2"/>
      <c r="G112" s="2"/>
    </row>
    <row r="113" spans="5:7" x14ac:dyDescent="0.35">
      <c r="E113" s="2"/>
      <c r="F113" s="2"/>
      <c r="G113" s="2"/>
    </row>
    <row r="114" spans="5:7" x14ac:dyDescent="0.35">
      <c r="E114" s="2"/>
      <c r="F114" s="2"/>
      <c r="G114" s="2"/>
    </row>
    <row r="115" spans="5:7" x14ac:dyDescent="0.35">
      <c r="E115" s="2"/>
      <c r="F115" s="2"/>
      <c r="G115" s="2"/>
    </row>
    <row r="116" spans="5:7" x14ac:dyDescent="0.35">
      <c r="E116" s="2"/>
      <c r="F116" s="2"/>
      <c r="G116" s="2"/>
    </row>
    <row r="117" spans="5:7" x14ac:dyDescent="0.35">
      <c r="E117" s="2"/>
      <c r="F117" s="2"/>
      <c r="G117" s="2"/>
    </row>
    <row r="118" spans="5:7" x14ac:dyDescent="0.35">
      <c r="E118" s="2"/>
      <c r="F118" s="2"/>
      <c r="G118" s="2"/>
    </row>
    <row r="119" spans="5:7" x14ac:dyDescent="0.35">
      <c r="E119" s="2"/>
      <c r="F119" s="2"/>
      <c r="G119" s="2"/>
    </row>
    <row r="120" spans="5:7" x14ac:dyDescent="0.35">
      <c r="E120" s="2"/>
      <c r="F120" s="2"/>
      <c r="G120" s="2"/>
    </row>
    <row r="121" spans="5:7" x14ac:dyDescent="0.35">
      <c r="E121" s="2"/>
      <c r="F121" s="2"/>
      <c r="G121" s="2"/>
    </row>
    <row r="122" spans="5:7" x14ac:dyDescent="0.35">
      <c r="E122" s="2"/>
      <c r="F122" s="2"/>
      <c r="G122" s="2"/>
    </row>
  </sheetData>
  <conditionalFormatting sqref="D18:D1048576 D12:D13 D2:H11 D14:H17">
    <cfRule type="colorScale" priority="7">
      <colorScale>
        <cfvo type="min"/>
        <cfvo type="percentile" val="50"/>
        <cfvo type="max"/>
        <color rgb="FFF8696B"/>
        <color rgb="FFFCFCFF"/>
        <color rgb="FF63BE7B"/>
      </colorScale>
    </cfRule>
  </conditionalFormatting>
  <conditionalFormatting sqref="E18:E122 E12:E13">
    <cfRule type="colorScale" priority="8">
      <colorScale>
        <cfvo type="min"/>
        <cfvo type="percentile" val="50"/>
        <cfvo type="max"/>
        <color rgb="FFF8696B"/>
        <color rgb="FFFCFCFF"/>
        <color rgb="FF63BE7B"/>
      </colorScale>
    </cfRule>
  </conditionalFormatting>
  <conditionalFormatting sqref="F18:F122 F12:F13">
    <cfRule type="colorScale" priority="9">
      <colorScale>
        <cfvo type="min"/>
        <cfvo type="percentile" val="50"/>
        <cfvo type="max"/>
        <color rgb="FFF8696B"/>
        <color rgb="FFFCFCFF"/>
        <color rgb="FF63BE7B"/>
      </colorScale>
    </cfRule>
  </conditionalFormatting>
  <conditionalFormatting sqref="G18:G122 G12:G13">
    <cfRule type="colorScale" priority="10">
      <colorScale>
        <cfvo type="min"/>
        <cfvo type="percentile" val="50"/>
        <cfvo type="max"/>
        <color rgb="FFF8696B"/>
        <color rgb="FFFCFCFF"/>
        <color rgb="FF63BE7B"/>
      </colorScale>
    </cfRule>
  </conditionalFormatting>
  <conditionalFormatting sqref="I2:I11">
    <cfRule type="colorScale" priority="6">
      <colorScale>
        <cfvo type="min"/>
        <cfvo type="percentile" val="50"/>
        <cfvo type="max"/>
        <color rgb="FFF8696B"/>
        <color rgb="FFFCFCFF"/>
        <color rgb="FF63BE7B"/>
      </colorScale>
    </cfRule>
  </conditionalFormatting>
  <conditionalFormatting sqref="I14:I17">
    <cfRule type="colorScale" priority="653">
      <colorScale>
        <cfvo type="min"/>
        <cfvo type="percentile" val="50"/>
        <cfvo type="max"/>
        <color rgb="FFF8696B"/>
        <color rgb="FFFCFCFF"/>
        <color rgb="FF63BE7B"/>
      </colorScale>
    </cfRule>
  </conditionalFormatting>
  <conditionalFormatting sqref="J2:J11">
    <cfRule type="colorScale" priority="5">
      <colorScale>
        <cfvo type="min"/>
        <cfvo type="percentile" val="50"/>
        <cfvo type="max"/>
        <color rgb="FFF8696B"/>
        <color rgb="FFFCFCFF"/>
        <color rgb="FF63BE7B"/>
      </colorScale>
    </cfRule>
  </conditionalFormatting>
  <conditionalFormatting sqref="J14:J17">
    <cfRule type="colorScale" priority="654">
      <colorScale>
        <cfvo type="min"/>
        <cfvo type="percentile" val="50"/>
        <cfvo type="max"/>
        <color rgb="FFF8696B"/>
        <color rgb="FFFCFCFF"/>
        <color rgb="FF63BE7B"/>
      </colorScale>
    </cfRule>
  </conditionalFormatting>
  <conditionalFormatting sqref="K2:K11">
    <cfRule type="colorScale" priority="4">
      <colorScale>
        <cfvo type="min"/>
        <cfvo type="percentile" val="50"/>
        <cfvo type="max"/>
        <color rgb="FFF8696B"/>
        <color rgb="FFFCFCFF"/>
        <color rgb="FF63BE7B"/>
      </colorScale>
    </cfRule>
  </conditionalFormatting>
  <conditionalFormatting sqref="K14:K17">
    <cfRule type="colorScale" priority="655">
      <colorScale>
        <cfvo type="min"/>
        <cfvo type="percentile" val="50"/>
        <cfvo type="max"/>
        <color rgb="FFF8696B"/>
        <color rgb="FFFCFCFF"/>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Portfolio</vt:lpstr>
      <vt:lpstr>Options</vt:lpstr>
      <vt:lpstr>Currency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horace</dc:creator>
  <cp:keywords/>
  <dc:description/>
  <cp:lastModifiedBy>Horace Chan</cp:lastModifiedBy>
  <cp:revision/>
  <dcterms:created xsi:type="dcterms:W3CDTF">2023-06-11T05:28:37Z</dcterms:created>
  <dcterms:modified xsi:type="dcterms:W3CDTF">2026-02-19T08:10:44Z</dcterms:modified>
  <cp:category/>
  <cp:contentStatus/>
</cp:coreProperties>
</file>