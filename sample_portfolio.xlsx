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B:\chanmainvest\portfolio_dashboard\"/>
    </mc:Choice>
  </mc:AlternateContent>
  <xr:revisionPtr revIDLastSave="0" documentId="13_ncr:1_{3686AADB-9C3A-458B-90C0-431D5308050B}" xr6:coauthVersionLast="47" xr6:coauthVersionMax="47" xr10:uidLastSave="{00000000-0000-0000-0000-000000000000}"/>
  <bookViews>
    <workbookView xWindow="0" yWindow="280" windowWidth="30430" windowHeight="19440" xr2:uid="{C3C23AD8-DF51-43CD-B973-8860122C8980}"/>
  </bookViews>
  <sheets>
    <sheet name="Portfolio" sheetId="1" r:id="rId1"/>
    <sheet name="Options" sheetId="4" r:id="rId2"/>
    <sheet name="Currency" sheetId="2" r:id="rId3"/>
  </sheets>
  <definedNames>
    <definedName name="_xlnm._FilterDatabase" localSheetId="1" hidden="1">Options!$A$1:$K$5</definedName>
    <definedName name="_xlnm._FilterDatabase" localSheetId="0" hidden="1">Portfolio!$A$1:$H$8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a="1"/>
  <c r="F13" i="1" s="1"/>
  <c r="E13" i="1" a="1"/>
  <c r="E13" i="1" s="1"/>
  <c r="C13" i="1" a="1"/>
  <c r="C13" i="1" s="1"/>
  <c r="F12" i="1" a="1"/>
  <c r="F12" i="1" s="1"/>
  <c r="E12" i="1" a="1"/>
  <c r="E12" i="1" s="1"/>
  <c r="C12" i="1" a="1"/>
  <c r="C12" i="1" s="1"/>
  <c r="F14" i="1" a="1"/>
  <c r="F14" i="1" s="1"/>
  <c r="E14" i="1" a="1"/>
  <c r="E14" i="1" s="1"/>
  <c r="C14" i="1" a="1"/>
  <c r="C14" i="1" s="1"/>
  <c r="F10" i="1" a="1"/>
  <c r="F10" i="1" s="1"/>
  <c r="E10" i="1" a="1"/>
  <c r="E10" i="1" s="1"/>
  <c r="C10" i="1" a="1"/>
  <c r="C10" i="1" s="1"/>
  <c r="F11" i="1" a="1"/>
  <c r="F11" i="1" s="1"/>
  <c r="E11" i="1" a="1"/>
  <c r="E11" i="1" s="1"/>
  <c r="C11" i="1" a="1"/>
  <c r="C11" i="1" s="1"/>
  <c r="F9" i="1" a="1"/>
  <c r="F9" i="1" s="1"/>
  <c r="E9" i="1" a="1"/>
  <c r="E9" i="1" s="1"/>
  <c r="C9" i="1" a="1"/>
  <c r="C9" i="1" s="1"/>
  <c r="F4" i="1" a="1"/>
  <c r="F4" i="1" s="1"/>
  <c r="E4" i="1" a="1"/>
  <c r="E4" i="1" s="1"/>
  <c r="C4" i="1" a="1"/>
  <c r="C4" i="1" s="1"/>
  <c r="C5" i="1" a="1"/>
  <c r="C5" i="1" s="1"/>
  <c r="C6" i="1" a="1"/>
  <c r="C6" i="1" s="1"/>
  <c r="C7" i="1" a="1"/>
  <c r="C7" i="1" s="1"/>
  <c r="C8" i="1" a="1"/>
  <c r="C8" i="1" s="1"/>
  <c r="F7" i="1" a="1"/>
  <c r="F7" i="1" s="1"/>
  <c r="E7" i="1" a="1"/>
  <c r="E7" i="1" s="1"/>
  <c r="F6" i="1" a="1"/>
  <c r="F6" i="1" s="1"/>
  <c r="E6" i="1" a="1"/>
  <c r="E6" i="1" s="1"/>
  <c r="F5" i="1" a="1"/>
  <c r="F5" i="1" s="1"/>
  <c r="E5" i="1" a="1"/>
  <c r="E5" i="1" s="1"/>
  <c r="F2" i="1" a="1"/>
  <c r="F2" i="1" s="1"/>
  <c r="E2" i="1" a="1"/>
  <c r="E2" i="1" s="1"/>
  <c r="C2" i="1" a="1"/>
  <c r="C2" i="1" s="1"/>
  <c r="M15" i="4"/>
  <c r="I15" i="4" a="1"/>
  <c r="I15" i="4" s="1"/>
  <c r="H15" i="4" a="1"/>
  <c r="H15" i="4" s="1"/>
  <c r="C15" i="4" a="1"/>
  <c r="C15" i="4" s="1"/>
  <c r="M6" i="4"/>
  <c r="I6" i="4" a="1"/>
  <c r="I6" i="4" s="1"/>
  <c r="H6" i="4" a="1"/>
  <c r="H6" i="4" s="1"/>
  <c r="C6" i="4" a="1"/>
  <c r="C6" i="4" s="1"/>
  <c r="M7" i="4"/>
  <c r="I7" i="4" a="1"/>
  <c r="I7" i="4" s="1"/>
  <c r="H7" i="4" a="1"/>
  <c r="H7" i="4" s="1"/>
  <c r="C7" i="4" a="1"/>
  <c r="C7" i="4" s="1"/>
  <c r="L5" i="4"/>
  <c r="M5" i="4" s="1"/>
  <c r="I5" i="4" a="1"/>
  <c r="I5" i="4" s="1"/>
  <c r="H5" i="4" a="1"/>
  <c r="H5" i="4" s="1"/>
  <c r="C5" i="4" a="1"/>
  <c r="C5" i="4" s="1"/>
  <c r="M4" i="4"/>
  <c r="I4" i="4" a="1"/>
  <c r="I4" i="4" s="1"/>
  <c r="H4" i="4" a="1"/>
  <c r="H4" i="4" s="1"/>
  <c r="C4" i="4" a="1"/>
  <c r="C4" i="4" s="1"/>
  <c r="L3" i="4"/>
  <c r="M3" i="4" s="1"/>
  <c r="I3" i="4" a="1"/>
  <c r="I3" i="4" s="1"/>
  <c r="H3" i="4" a="1"/>
  <c r="H3" i="4" s="1"/>
  <c r="C3" i="4" a="1"/>
  <c r="C3" i="4" s="1"/>
  <c r="M2" i="4"/>
  <c r="I2" i="4" a="1"/>
  <c r="I2" i="4" s="1"/>
  <c r="H2" i="4" a="1"/>
  <c r="H2" i="4" s="1"/>
  <c r="C2" i="4" a="1"/>
  <c r="C2" i="4" s="1"/>
  <c r="M14" i="4"/>
  <c r="I14" i="4" a="1"/>
  <c r="I14" i="4" s="1"/>
  <c r="H14" i="4" a="1"/>
  <c r="H14" i="4" s="1"/>
  <c r="C14" i="4" a="1"/>
  <c r="C14" i="4" s="1"/>
  <c r="M13" i="4"/>
  <c r="I13" i="4" a="1"/>
  <c r="I13" i="4" s="1"/>
  <c r="H13" i="4" a="1"/>
  <c r="H13" i="4" s="1"/>
  <c r="C13" i="4" a="1"/>
  <c r="C13" i="4" s="1"/>
  <c r="M12" i="4"/>
  <c r="I12" i="4" a="1"/>
  <c r="I12" i="4" s="1"/>
  <c r="H12" i="4" a="1"/>
  <c r="H12" i="4" s="1"/>
  <c r="C12" i="4" a="1"/>
  <c r="C12" i="4" s="1"/>
  <c r="M11" i="4"/>
  <c r="I11" i="4" a="1"/>
  <c r="I11" i="4" s="1"/>
  <c r="H11" i="4" a="1"/>
  <c r="H11" i="4" s="1"/>
  <c r="C11" i="4" a="1"/>
  <c r="C11" i="4" s="1"/>
  <c r="M8" i="4"/>
  <c r="I8" i="4" a="1"/>
  <c r="I8" i="4" s="1"/>
  <c r="H8" i="4" a="1"/>
  <c r="H8" i="4" s="1"/>
  <c r="C8" i="4" a="1"/>
  <c r="C8" i="4" s="1"/>
  <c r="M9" i="4"/>
  <c r="I9" i="4" a="1"/>
  <c r="I9" i="4" s="1"/>
  <c r="H9" i="4" a="1"/>
  <c r="H9" i="4" s="1"/>
  <c r="C9" i="4" a="1"/>
  <c r="C9" i="4" s="1"/>
  <c r="M10" i="4"/>
  <c r="I10" i="4" a="1"/>
  <c r="I10" i="4" s="1"/>
  <c r="H10" i="4" a="1"/>
  <c r="H10" i="4" s="1"/>
  <c r="C10" i="4" a="1"/>
  <c r="C10" i="4" s="1"/>
  <c r="G13" i="1" l="1"/>
  <c r="G12" i="1"/>
  <c r="G14" i="1"/>
  <c r="G10" i="1"/>
  <c r="G11" i="1"/>
  <c r="G9" i="1"/>
  <c r="H9" i="1" s="1"/>
  <c r="G4" i="1"/>
  <c r="H4" i="1" s="1"/>
  <c r="G7" i="1"/>
  <c r="G6" i="1"/>
  <c r="G5" i="1"/>
  <c r="G2" i="1"/>
  <c r="J15" i="4"/>
  <c r="K15" i="4" s="1"/>
  <c r="N15" i="4"/>
  <c r="J6" i="4"/>
  <c r="J7" i="4"/>
  <c r="J5" i="4"/>
  <c r="J4" i="4"/>
  <c r="J3" i="4"/>
  <c r="J2" i="4"/>
  <c r="J13" i="4"/>
  <c r="J14" i="4"/>
  <c r="J11" i="4"/>
  <c r="J12" i="4"/>
  <c r="J8" i="4"/>
  <c r="J9" i="4"/>
  <c r="J10" i="4"/>
  <c r="M17" i="4" l="1"/>
  <c r="I17" i="4" a="1"/>
  <c r="I17" i="4" s="1"/>
  <c r="H17" i="4" a="1"/>
  <c r="H17" i="4" s="1"/>
  <c r="J17" i="4" l="1"/>
  <c r="M16" i="4"/>
  <c r="I16" i="4" a="1"/>
  <c r="I16" i="4" s="1"/>
  <c r="H16" i="4" a="1"/>
  <c r="H16" i="4" s="1"/>
  <c r="J16" i="4" l="1"/>
  <c r="G20" i="1" l="1"/>
  <c r="G19" i="1"/>
  <c r="H19" i="1" s="1"/>
  <c r="C16" i="4" l="1" a="1"/>
  <c r="C16" i="4" s="1"/>
  <c r="C17" i="4" a="1"/>
  <c r="C17" i="4" s="1"/>
  <c r="C17" i="2" a="1"/>
  <c r="C17" i="2" s="1"/>
  <c r="B17" i="2" a="1"/>
  <c r="B17" i="2" s="1"/>
  <c r="B16" i="2" a="1"/>
  <c r="B16" i="2" s="1"/>
  <c r="C16" i="2" a="1"/>
  <c r="C16" i="2" s="1"/>
  <c r="C15" i="2" a="1"/>
  <c r="C15" i="2" s="1"/>
  <c r="B15" i="2" a="1"/>
  <c r="B15" i="2" s="1"/>
  <c r="C14" i="2" a="1"/>
  <c r="C14" i="2" s="1"/>
  <c r="B14" i="2" a="1"/>
  <c r="B14" i="2" s="1"/>
  <c r="K1" i="2"/>
  <c r="J1" i="2"/>
  <c r="I1" i="2"/>
  <c r="H1" i="2"/>
  <c r="C11" i="2" a="1"/>
  <c r="C11" i="2" s="1"/>
  <c r="B11" i="2" a="1"/>
  <c r="B11" i="2" s="1"/>
  <c r="C10" i="2" a="1"/>
  <c r="C10" i="2" s="1"/>
  <c r="B10" i="2" a="1"/>
  <c r="B10" i="2" s="1"/>
  <c r="C9" i="2" a="1"/>
  <c r="C9" i="2" s="1"/>
  <c r="B9" i="2" a="1"/>
  <c r="B9" i="2" s="1"/>
  <c r="C8" i="2" a="1"/>
  <c r="C8" i="2" s="1"/>
  <c r="B8" i="2" a="1"/>
  <c r="B8" i="2" s="1"/>
  <c r="G1" i="2"/>
  <c r="F1" i="2"/>
  <c r="E1" i="2"/>
  <c r="D1" i="2"/>
  <c r="G17" i="1"/>
  <c r="H17" i="1" s="1"/>
  <c r="G18" i="1"/>
  <c r="L1" i="1"/>
  <c r="K1" i="1"/>
  <c r="J1" i="1"/>
  <c r="R1" i="4"/>
  <c r="Q1" i="4"/>
  <c r="P1" i="4"/>
  <c r="O1" i="4"/>
  <c r="I1" i="1"/>
  <c r="B6" i="2" a="1"/>
  <c r="B6" i="2" s="1"/>
  <c r="C6" i="2" a="1"/>
  <c r="C6" i="2" s="1"/>
  <c r="B7" i="2" a="1"/>
  <c r="B7" i="2" s="1"/>
  <c r="C7" i="2" a="1"/>
  <c r="C7" i="2" s="1"/>
  <c r="B5" i="2" a="1"/>
  <c r="B5" i="2" s="1"/>
  <c r="C5" i="2" a="1"/>
  <c r="C5" i="2" s="1"/>
  <c r="C4" i="2" a="1"/>
  <c r="C4" i="2" s="1"/>
  <c r="B4" i="2" a="1"/>
  <c r="B4" i="2" s="1"/>
  <c r="B3" i="2" a="1"/>
  <c r="B3" i="2" s="1"/>
  <c r="C3" i="2" a="1"/>
  <c r="C3" i="2" s="1"/>
  <c r="E3" i="1" a="1"/>
  <c r="E3" i="1" s="1"/>
  <c r="G3" i="1" s="1"/>
  <c r="E8" i="1" a="1"/>
  <c r="E8" i="1" s="1"/>
  <c r="G8" i="1" s="1"/>
  <c r="E15" i="1" a="1"/>
  <c r="E15" i="1" s="1"/>
  <c r="G15" i="1" s="1"/>
  <c r="E16" i="1" a="1"/>
  <c r="E16" i="1" s="1"/>
  <c r="G16" i="1" s="1"/>
  <c r="C2" i="2" a="1"/>
  <c r="C2" i="2" s="1"/>
  <c r="B2" i="2" a="1"/>
  <c r="B2" i="2" s="1"/>
  <c r="F3" i="1" a="1"/>
  <c r="F3" i="1" s="1"/>
  <c r="F8" i="1" a="1"/>
  <c r="F8" i="1" s="1"/>
  <c r="F15" i="1" a="1"/>
  <c r="F15" i="1" s="1"/>
  <c r="F16" i="1" a="1"/>
  <c r="F16" i="1" s="1"/>
  <c r="C15" i="1" a="1"/>
  <c r="C15" i="1" s="1"/>
  <c r="C16" i="1" a="1"/>
  <c r="C16" i="1" s="1"/>
  <c r="C3" i="1" a="1"/>
  <c r="C3" i="1" s="1"/>
  <c r="Q15" i="4" a="1"/>
  <c r="P6" i="4" a="1"/>
  <c r="G10" i="2" a="1"/>
  <c r="K11" i="2" a="1"/>
  <c r="H7" i="2" a="1"/>
  <c r="F5" i="2" a="1"/>
  <c r="R15" i="4" a="1"/>
  <c r="H11" i="1" l="1"/>
  <c r="H12" i="1"/>
  <c r="H14" i="1"/>
  <c r="H10" i="1"/>
  <c r="H13" i="1"/>
  <c r="H2" i="1"/>
  <c r="H7" i="1"/>
  <c r="H5" i="1"/>
  <c r="H6" i="1"/>
  <c r="R15" i="4"/>
  <c r="Q15" i="4"/>
  <c r="N6" i="4"/>
  <c r="K6" i="4"/>
  <c r="P6" i="4"/>
  <c r="N7" i="4"/>
  <c r="K7" i="4"/>
  <c r="N5" i="4"/>
  <c r="N4" i="4"/>
  <c r="K4" i="4"/>
  <c r="K5" i="4"/>
  <c r="K3" i="4"/>
  <c r="N2" i="4"/>
  <c r="N3" i="4"/>
  <c r="K2" i="4"/>
  <c r="N13" i="4"/>
  <c r="N14" i="4"/>
  <c r="K14" i="4"/>
  <c r="K13" i="4"/>
  <c r="K11" i="4"/>
  <c r="N10" i="4"/>
  <c r="N11" i="4"/>
  <c r="N8" i="4"/>
  <c r="K12" i="4"/>
  <c r="N12" i="4"/>
  <c r="N9" i="4"/>
  <c r="K9" i="4"/>
  <c r="K10" i="4"/>
  <c r="K8" i="4"/>
  <c r="N17" i="4"/>
  <c r="K17" i="4"/>
  <c r="N16" i="4"/>
  <c r="K16" i="4"/>
  <c r="H20" i="1"/>
  <c r="K11" i="2"/>
  <c r="G10" i="2"/>
  <c r="H7" i="2"/>
  <c r="F5" i="2"/>
  <c r="H18" i="1"/>
  <c r="H8" i="1"/>
  <c r="H3" i="1"/>
  <c r="H16" i="1"/>
  <c r="H15" i="1"/>
  <c r="L14" i="1" a="1"/>
  <c r="J11" i="1" a="1"/>
  <c r="Q6" i="4" a="1"/>
  <c r="E15" i="2" a="1"/>
  <c r="I9" i="2" a="1"/>
  <c r="D17" i="2" a="1"/>
  <c r="Q13" i="4" a="1"/>
  <c r="I2" i="2" a="1"/>
  <c r="I11" i="2" a="1"/>
  <c r="J3" i="1" a="1"/>
  <c r="P4" i="4" a="1"/>
  <c r="L12" i="1" a="1"/>
  <c r="O15" i="4" a="1"/>
  <c r="I7" i="2" a="1"/>
  <c r="F10" i="2" a="1"/>
  <c r="Q5" i="4" a="1"/>
  <c r="F11" i="2" a="1"/>
  <c r="E11" i="2" a="1"/>
  <c r="E8" i="2" a="1"/>
  <c r="J15" i="1" a="1"/>
  <c r="K15" i="2" a="1"/>
  <c r="Q7" i="4" a="1"/>
  <c r="K9" i="2" a="1"/>
  <c r="L5" i="1" a="1"/>
  <c r="O7" i="4" a="1"/>
  <c r="R11" i="4" a="1"/>
  <c r="R13" i="4" a="1"/>
  <c r="I4" i="2" a="1"/>
  <c r="H15" i="2" a="1"/>
  <c r="G7" i="2" a="1"/>
  <c r="H11" i="2" a="1"/>
  <c r="O9" i="4" a="1"/>
  <c r="E2" i="2" a="1"/>
  <c r="R4" i="4" a="1"/>
  <c r="J8" i="1" a="1"/>
  <c r="L6" i="1" a="1"/>
  <c r="O8" i="4" a="1"/>
  <c r="G9" i="2" a="1"/>
  <c r="O3" i="4" a="1"/>
  <c r="I16" i="1" a="1"/>
  <c r="I8" i="2" a="1"/>
  <c r="P16" i="4" a="1"/>
  <c r="H8" i="2" a="1"/>
  <c r="G5" i="2" a="1"/>
  <c r="G6" i="2" a="1"/>
  <c r="J9" i="2" a="1"/>
  <c r="F16" i="2" a="1"/>
  <c r="D3" i="2" a="1"/>
  <c r="E9" i="2" a="1"/>
  <c r="K6" i="2" a="1"/>
  <c r="P8" i="4" a="1"/>
  <c r="E3" i="2" a="1"/>
  <c r="G14" i="2" a="1"/>
  <c r="Q4" i="4" a="1"/>
  <c r="K3" i="1" a="1"/>
  <c r="E7" i="2" a="1"/>
  <c r="L10" i="1" a="1"/>
  <c r="O6" i="4" a="1"/>
  <c r="J4" i="2" a="1"/>
  <c r="R6" i="4" a="1"/>
  <c r="R14" i="4" a="1"/>
  <c r="D14" i="2" a="1"/>
  <c r="R7" i="4" a="1"/>
  <c r="J15" i="2" a="1"/>
  <c r="L13" i="1" a="1"/>
  <c r="I5" i="1" a="1"/>
  <c r="O10" i="4" a="1"/>
  <c r="R8" i="4" a="1"/>
  <c r="I10" i="2" a="1"/>
  <c r="E5" i="2" a="1"/>
  <c r="J7" i="2" a="1"/>
  <c r="J8" i="2" a="1"/>
  <c r="I4" i="1" a="1"/>
  <c r="Q12" i="4" a="1"/>
  <c r="D7" i="2" a="1"/>
  <c r="G16" i="2" a="1"/>
  <c r="E14" i="2" a="1"/>
  <c r="I15" i="1" a="1"/>
  <c r="R12" i="4" a="1"/>
  <c r="I6" i="2" a="1"/>
  <c r="H9" i="2" a="1"/>
  <c r="D5" i="2" a="1"/>
  <c r="Q8" i="4" a="1"/>
  <c r="L7" i="1" a="1"/>
  <c r="I11" i="1" a="1"/>
  <c r="G2" i="2" a="1"/>
  <c r="D4" i="2" a="1"/>
  <c r="O11" i="4" a="1"/>
  <c r="P12" i="4" a="1"/>
  <c r="Q10" i="4" a="1"/>
  <c r="H17" i="2" a="1"/>
  <c r="G17" i="2" a="1"/>
  <c r="K2" i="2" a="1"/>
  <c r="K8" i="1" a="1"/>
  <c r="D9" i="2" a="1"/>
  <c r="F6" i="2" a="1"/>
  <c r="F4" i="2" a="1"/>
  <c r="Q16" i="4" a="1"/>
  <c r="L16" i="1" a="1"/>
  <c r="P17" i="4" a="1"/>
  <c r="O14" i="4" a="1"/>
  <c r="O13" i="4" a="1"/>
  <c r="I14" i="2" a="1"/>
  <c r="L11" i="1" a="1"/>
  <c r="I12" i="1" a="1"/>
  <c r="J3" i="2" a="1"/>
  <c r="P3" i="4" a="1"/>
  <c r="E6" i="2" a="1"/>
  <c r="K5" i="2" a="1"/>
  <c r="H10" i="2" a="1"/>
  <c r="L15" i="1" a="1"/>
  <c r="D11" i="2" a="1"/>
  <c r="Q11" i="4" a="1"/>
  <c r="F7" i="2" a="1"/>
  <c r="L4" i="1" a="1"/>
  <c r="I17" i="2" a="1"/>
  <c r="J16" i="2" a="1"/>
  <c r="L9" i="1" a="1"/>
  <c r="I14" i="1" a="1"/>
  <c r="F15" i="2" a="1"/>
  <c r="G4" i="2" a="1"/>
  <c r="O2" i="4" a="1"/>
  <c r="I5" i="2" a="1"/>
  <c r="G8" i="2" a="1"/>
  <c r="R16" i="4" a="1"/>
  <c r="O4" i="4" a="1"/>
  <c r="Q3" i="4" a="1"/>
  <c r="O12" i="4" a="1"/>
  <c r="I16" i="2" a="1"/>
  <c r="L8" i="1" a="1"/>
  <c r="R5" i="4" a="1"/>
  <c r="H2" i="2" a="1"/>
  <c r="L2" i="1" a="1"/>
  <c r="I10" i="1" a="1"/>
  <c r="K2" i="1" a="1"/>
  <c r="I2" i="1" a="1"/>
  <c r="K3" i="2" a="1"/>
  <c r="I3" i="2" a="1"/>
  <c r="P13" i="4" a="1"/>
  <c r="P11" i="4" a="1"/>
  <c r="R17" i="4" a="1"/>
  <c r="G15" i="2" a="1"/>
  <c r="K14" i="1" a="1"/>
  <c r="I9" i="1" a="1"/>
  <c r="O16" i="4" a="1"/>
  <c r="J6" i="2" a="1"/>
  <c r="P7" i="4" a="1"/>
  <c r="K5" i="1" a="1"/>
  <c r="I6" i="1" a="1"/>
  <c r="E4" i="2" a="1"/>
  <c r="K4" i="2" a="1"/>
  <c r="J5" i="2" a="1"/>
  <c r="F9" i="2" a="1"/>
  <c r="J2" i="2" a="1"/>
  <c r="G3" i="2" a="1"/>
  <c r="H3" i="2" a="1"/>
  <c r="E16" i="2" a="1"/>
  <c r="F3" i="2" a="1"/>
  <c r="J17" i="2" a="1"/>
  <c r="F8" i="2" a="1"/>
  <c r="K15" i="1" a="1"/>
  <c r="J11" i="2" a="1"/>
  <c r="K9" i="1" a="1"/>
  <c r="I13" i="1" a="1"/>
  <c r="E10" i="2" a="1"/>
  <c r="K16" i="1" a="1"/>
  <c r="P15" i="4" a="1"/>
  <c r="P2" i="4" a="1"/>
  <c r="R3" i="4" a="1"/>
  <c r="H14" i="2" a="1"/>
  <c r="I3" i="1" a="1"/>
  <c r="K13" i="1" a="1"/>
  <c r="I7" i="1" a="1"/>
  <c r="J10" i="2" a="1"/>
  <c r="K7" i="1" a="1"/>
  <c r="K6" i="1" a="1"/>
  <c r="D6" i="2" a="1"/>
  <c r="K12" i="1" a="1"/>
  <c r="Q9" i="4" a="1"/>
  <c r="R2" i="4" a="1"/>
  <c r="J14" i="2" a="1"/>
  <c r="D2" i="2" a="1"/>
  <c r="Q14" i="4" a="1"/>
  <c r="K11" i="1" a="1"/>
  <c r="Q17" i="4" a="1"/>
  <c r="D8" i="2" a="1"/>
  <c r="K10" i="1" a="1"/>
  <c r="K8" i="2" a="1"/>
  <c r="K4" i="1" a="1"/>
  <c r="K10" i="2" a="1"/>
  <c r="F17" i="2" a="1"/>
  <c r="P10" i="4" a="1"/>
  <c r="D15" i="2" a="1"/>
  <c r="G11" i="2" a="1"/>
  <c r="O17" i="4" a="1"/>
  <c r="P14" i="4" a="1"/>
  <c r="R10" i="4" a="1"/>
  <c r="L3" i="1" a="1"/>
  <c r="E17" i="2" a="1"/>
  <c r="K14" i="2" a="1"/>
  <c r="J9" i="1" a="1"/>
  <c r="K7" i="2" a="1"/>
  <c r="K17" i="2" a="1"/>
  <c r="D16" i="2" a="1"/>
  <c r="D10" i="2" a="1"/>
  <c r="Q2" i="4" a="1"/>
  <c r="P9" i="4" a="1"/>
  <c r="O5" i="4" a="1"/>
  <c r="I15" i="2" a="1"/>
  <c r="J16" i="1" a="1"/>
  <c r="I8" i="1" a="1"/>
  <c r="H16" i="2" a="1"/>
  <c r="J14" i="1" a="1"/>
  <c r="H5" i="2" a="1"/>
  <c r="J4" i="1" a="1"/>
  <c r="R9" i="4" a="1"/>
  <c r="P5" i="4" a="1"/>
  <c r="K16" i="2" a="1"/>
  <c r="J7" i="1" a="1"/>
  <c r="J6" i="1" a="1"/>
  <c r="J5" i="1" a="1"/>
  <c r="J2" i="1" a="1"/>
  <c r="J12" i="1" a="1"/>
  <c r="J13" i="1" a="1"/>
  <c r="F14" i="2" a="1"/>
  <c r="F2" i="2" a="1"/>
  <c r="H6" i="2" a="1"/>
  <c r="H4" i="2" a="1"/>
  <c r="J10" i="1" a="1"/>
  <c r="J10" i="1" l="1"/>
  <c r="J13" i="1"/>
  <c r="J12" i="1"/>
  <c r="J2" i="1"/>
  <c r="J5" i="1"/>
  <c r="J6" i="1"/>
  <c r="J7" i="1"/>
  <c r="J4" i="1"/>
  <c r="J14" i="1"/>
  <c r="J9" i="1"/>
  <c r="K4" i="1"/>
  <c r="K10" i="1"/>
  <c r="K11" i="1"/>
  <c r="K12" i="1"/>
  <c r="K6" i="1"/>
  <c r="K7" i="1"/>
  <c r="I7" i="1"/>
  <c r="K13" i="1"/>
  <c r="I13" i="1"/>
  <c r="K9" i="1"/>
  <c r="I6" i="1"/>
  <c r="K5" i="1"/>
  <c r="I9" i="1"/>
  <c r="K14" i="1"/>
  <c r="I2" i="1"/>
  <c r="K2" i="1"/>
  <c r="I10" i="1"/>
  <c r="L2" i="1"/>
  <c r="I14" i="1"/>
  <c r="L9" i="1"/>
  <c r="L4" i="1"/>
  <c r="I12" i="1"/>
  <c r="L11" i="1"/>
  <c r="I11" i="1"/>
  <c r="L7" i="1"/>
  <c r="I4" i="1"/>
  <c r="I5" i="1"/>
  <c r="L13" i="1"/>
  <c r="O6" i="4"/>
  <c r="L10" i="1"/>
  <c r="O8" i="4"/>
  <c r="L6" i="1"/>
  <c r="O7" i="4"/>
  <c r="L5" i="1"/>
  <c r="O15" i="4"/>
  <c r="L12" i="1"/>
  <c r="J11" i="1"/>
  <c r="L14" i="1"/>
  <c r="H21" i="1"/>
  <c r="P7" i="4"/>
  <c r="P15" i="4"/>
  <c r="R6" i="4"/>
  <c r="Q6" i="4"/>
  <c r="Q7" i="4"/>
  <c r="R7" i="4"/>
  <c r="R4" i="4"/>
  <c r="R5" i="4"/>
  <c r="Q5" i="4"/>
  <c r="Q4" i="4"/>
  <c r="O5" i="4"/>
  <c r="O4" i="4"/>
  <c r="P5" i="4"/>
  <c r="P4" i="4"/>
  <c r="O9" i="4"/>
  <c r="O10" i="4"/>
  <c r="Q8" i="4"/>
  <c r="Q9" i="4"/>
  <c r="P8" i="4"/>
  <c r="P9" i="4"/>
  <c r="R8" i="4"/>
  <c r="R9" i="4"/>
  <c r="P10" i="4"/>
  <c r="R10" i="4"/>
  <c r="Q10" i="4"/>
  <c r="P3" i="4"/>
  <c r="P2" i="4"/>
  <c r="R2" i="4"/>
  <c r="R3" i="4"/>
  <c r="Q2" i="4"/>
  <c r="Q3" i="4"/>
  <c r="O2" i="4"/>
  <c r="O3" i="4"/>
  <c r="P14" i="4"/>
  <c r="P13" i="4"/>
  <c r="Q13" i="4"/>
  <c r="Q14" i="4"/>
  <c r="R14" i="4"/>
  <c r="R13" i="4"/>
  <c r="O14" i="4"/>
  <c r="O13" i="4"/>
  <c r="Q12" i="4"/>
  <c r="Q11" i="4"/>
  <c r="R11" i="4"/>
  <c r="R12" i="4"/>
  <c r="P11" i="4"/>
  <c r="P12" i="4"/>
  <c r="O11" i="4"/>
  <c r="O12" i="4"/>
  <c r="R16" i="4"/>
  <c r="Q17" i="4"/>
  <c r="P17" i="4"/>
  <c r="Q16" i="4"/>
  <c r="P16" i="4"/>
  <c r="R17" i="4"/>
  <c r="O16" i="4"/>
  <c r="O17" i="4"/>
  <c r="I11" i="2"/>
  <c r="J11" i="2"/>
  <c r="D2" i="2"/>
  <c r="D17" i="2"/>
  <c r="E17" i="2"/>
  <c r="F17" i="2"/>
  <c r="G17" i="2"/>
  <c r="H17" i="2"/>
  <c r="I17" i="2"/>
  <c r="J17" i="2"/>
  <c r="K17" i="2"/>
  <c r="H8" i="2"/>
  <c r="D6" i="2"/>
  <c r="H2" i="2"/>
  <c r="H10" i="2"/>
  <c r="H9" i="2"/>
  <c r="H3" i="2"/>
  <c r="H6" i="2"/>
  <c r="D5" i="2"/>
  <c r="E5" i="2"/>
  <c r="G2" i="2"/>
  <c r="E3" i="2"/>
  <c r="E2" i="2"/>
  <c r="G9" i="2"/>
  <c r="G3" i="2"/>
  <c r="D3" i="2"/>
  <c r="E6" i="2"/>
  <c r="F6" i="2"/>
  <c r="F3" i="2"/>
  <c r="F2" i="2"/>
  <c r="K16" i="2"/>
  <c r="J16" i="2"/>
  <c r="I16" i="2"/>
  <c r="H16" i="2"/>
  <c r="G16" i="2"/>
  <c r="F16" i="2"/>
  <c r="E16" i="2"/>
  <c r="D16" i="2"/>
  <c r="D15" i="2"/>
  <c r="E15" i="2"/>
  <c r="F15" i="2"/>
  <c r="G15" i="2"/>
  <c r="H15" i="2"/>
  <c r="I15" i="2"/>
  <c r="J15" i="2"/>
  <c r="K15" i="2"/>
  <c r="D14" i="2"/>
  <c r="E14" i="2"/>
  <c r="F14" i="2"/>
  <c r="G14" i="2"/>
  <c r="H14" i="2"/>
  <c r="I14" i="2"/>
  <c r="J14" i="2"/>
  <c r="K14" i="2"/>
  <c r="K10" i="2"/>
  <c r="K9" i="2"/>
  <c r="K8" i="2"/>
  <c r="K7" i="2"/>
  <c r="K6" i="2"/>
  <c r="K5" i="2"/>
  <c r="K4" i="2"/>
  <c r="K3" i="2"/>
  <c r="K2" i="2"/>
  <c r="J10" i="2"/>
  <c r="J9" i="2"/>
  <c r="J8" i="2"/>
  <c r="J7" i="2"/>
  <c r="J5" i="2"/>
  <c r="J6" i="2"/>
  <c r="J4" i="2"/>
  <c r="J3" i="2"/>
  <c r="J2" i="2"/>
  <c r="I10" i="2"/>
  <c r="I9" i="2"/>
  <c r="I8" i="2"/>
  <c r="I7" i="2"/>
  <c r="I6" i="2"/>
  <c r="I5" i="2"/>
  <c r="I4" i="2"/>
  <c r="I3" i="2"/>
  <c r="I2" i="2"/>
  <c r="G11" i="2"/>
  <c r="H11" i="2"/>
  <c r="G4" i="2"/>
  <c r="H4" i="2"/>
  <c r="G5" i="2"/>
  <c r="H5" i="2"/>
  <c r="G6" i="2"/>
  <c r="G7" i="2"/>
  <c r="G8" i="2"/>
  <c r="D11" i="2"/>
  <c r="E11" i="2"/>
  <c r="F11" i="2"/>
  <c r="D10" i="2"/>
  <c r="E10" i="2"/>
  <c r="F10" i="2"/>
  <c r="D9" i="2"/>
  <c r="E9" i="2"/>
  <c r="F9" i="2"/>
  <c r="D8" i="2"/>
  <c r="E8" i="2"/>
  <c r="F8" i="2"/>
  <c r="D7" i="2"/>
  <c r="E7" i="2"/>
  <c r="F7" i="2"/>
  <c r="D4" i="2"/>
  <c r="E4" i="2"/>
  <c r="F4" i="2"/>
  <c r="I3" i="1"/>
  <c r="I16" i="1"/>
  <c r="I15" i="1"/>
  <c r="L3" i="1"/>
  <c r="L8" i="1"/>
  <c r="I8" i="1"/>
  <c r="L15" i="1"/>
  <c r="L16" i="1"/>
  <c r="K3" i="1"/>
  <c r="K16" i="1"/>
  <c r="K15" i="1"/>
  <c r="K8" i="1"/>
  <c r="J15" i="1"/>
  <c r="J3" i="1"/>
  <c r="J16" i="1"/>
  <c r="J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39"/>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4"/>
        </ext>
      </extLst>
    </bk>
    <bk>
      <extLst>
        <ext uri="{3e2802c4-a4d2-4d8b-9148-e3be6c30e623}">
          <xlrd:rvb i="66"/>
        </ext>
      </extLst>
    </bk>
    <bk>
      <extLst>
        <ext uri="{3e2802c4-a4d2-4d8b-9148-e3be6c30e623}">
          <xlrd:rvb i="68"/>
        </ext>
      </extLst>
    </bk>
    <bk>
      <extLst>
        <ext uri="{3e2802c4-a4d2-4d8b-9148-e3be6c30e623}">
          <xlrd:rvb i="70"/>
        </ext>
      </extLst>
    </bk>
    <bk>
      <extLst>
        <ext uri="{3e2802c4-a4d2-4d8b-9148-e3be6c30e623}">
          <xlrd:rvb i="72"/>
        </ext>
      </extLst>
    </bk>
    <bk>
      <extLst>
        <ext uri="{3e2802c4-a4d2-4d8b-9148-e3be6c30e623}">
          <xlrd:rvb i="74"/>
        </ext>
      </extLst>
    </bk>
    <bk>
      <extLst>
        <ext uri="{3e2802c4-a4d2-4d8b-9148-e3be6c30e623}">
          <xlrd:rvb i="76"/>
        </ext>
      </extLst>
    </bk>
    <bk>
      <extLst>
        <ext uri="{3e2802c4-a4d2-4d8b-9148-e3be6c30e623}">
          <xlrd:rvb i="78"/>
        </ext>
      </extLst>
    </bk>
    <bk>
      <extLst>
        <ext uri="{3e2802c4-a4d2-4d8b-9148-e3be6c30e623}">
          <xlrd:rvb i="80"/>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5"/>
        </ext>
      </extLst>
    </bk>
  </futureMetadata>
  <cellMetadata count="1">
    <bk>
      <rc t="1" v="0"/>
    </bk>
  </cellMetadata>
  <valueMetadata count="3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<sst xmlns="http://schemas.openxmlformats.org/spreadsheetml/2006/main" count="85" uniqueCount="25">
  <si>
    <t>Cash</t>
  </si>
  <si>
    <t>TD</t>
  </si>
  <si>
    <t>Type</t>
  </si>
  <si>
    <t>PUT</t>
  </si>
  <si>
    <t>CALL</t>
  </si>
  <si>
    <t>Stock</t>
  </si>
  <si>
    <t>Account</t>
  </si>
  <si>
    <t>Symbol</t>
  </si>
  <si>
    <t>Shares</t>
  </si>
  <si>
    <t>Price</t>
  </si>
  <si>
    <t>Currency</t>
  </si>
  <si>
    <t>Mkt Value</t>
  </si>
  <si>
    <t>Mkt Value (CAD)</t>
  </si>
  <si>
    <t>CAD</t>
  </si>
  <si>
    <t>USD</t>
  </si>
  <si>
    <t>Expirty</t>
  </si>
  <si>
    <t>Strike</t>
  </si>
  <si>
    <t>P/L</t>
  </si>
  <si>
    <t>P/L (CAD)</t>
  </si>
  <si>
    <t>Cost</t>
  </si>
  <si>
    <t>Change</t>
  </si>
  <si>
    <t>N.Value (CAD)</t>
  </si>
  <si>
    <t>N.Value</t>
  </si>
  <si>
    <t>Commodity</t>
  </si>
  <si>
    <t>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</si>
</sst>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1009]* #,##0.00_-;\-[$$-1009]* #,##0.00_-;_-[$$-1009]* &quot;-&quot;??_-;_-@_-"/>
    <numFmt numFmtId="165" formatCode="yyyy/mm/dd;@"/>
  </numFmts>
  <fonts count="4" x14ac:knownFonts="1">
    <font>
      <sz val="11"/>
      <color theme="1"/>
      <name val="Calibri"/>
      <family val="2"/>
      <scheme val="minor"/>
    </font>
    <font>
      <sz val="10"/>
      <color theme="1"/>
      <name val="Arial"/>
      <family val="2"/>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10" fontId="0" fillId="0" borderId="0" xfId="0" applyNumberFormat="1"/>
    <xf numFmtId="2" fontId="0" fillId="0" borderId="0" xfId="0" applyNumberFormat="1"/>
    <xf numFmtId="1" fontId="0" fillId="0" borderId="0" xfId="0" applyNumberFormat="1"/>
    <xf numFmtId="0" fontId="1" fillId="0" borderId="0" xfId="0" applyFont="1" applyAlignment="1">
      <alignment wrapText="1"/>
    </xf>
    <xf numFmtId="0" fontId="1" fillId="0" borderId="0" xfId="0" applyFont="1" applyAlignment="1">
      <alignment horizontal="right" wrapText="1"/>
    </xf>
    <xf numFmtId="165" fontId="1" fillId="0" borderId="0" xfId="0" applyNumberFormat="1" applyFont="1" applyAlignment="1">
      <alignment wrapText="1"/>
    </xf>
    <xf numFmtId="14" fontId="0" fillId="0" borderId="0" xfId="0" applyNumberFormat="1"/>
    <xf numFmtId="3"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23/09/relationships/Python" Target="pytho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ichStyles" Target="richData/richStyles.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dArray" Target="richData/rdarray.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99">
  <a r="1">
    <v t="i">0</v>
  </a>
  <a r="1">
    <v>29.695</v>
  </a>
  <a r="1">
    <v>32.548999999999999</v>
  </a>
  <a r="1">
    <v>31.960999999999999</v>
  </a>
  <a r="1">
    <v>31.42</v>
  </a>
  <a r="1">
    <v>32.76</v>
  </a>
  <a r="1">
    <v>31.64</v>
  </a>
  <a r="1">
    <v>31.007000000000001</v>
  </a>
  <a r="1">
    <v>29.158999999999999</v>
  </a>
  <a r="1">
    <v>7.2980999999999998</v>
  </a>
  <a r="1">
    <v>7.2666000000000004</v>
  </a>
  <a r="1">
    <v>7.1670999999999996</v>
  </a>
  <a r="1">
    <v>6.7859999999999996</v>
  </a>
  <a r="1">
    <v>7.2363999999999997</v>
  </a>
  <a r="1">
    <v>6.7744999999999997</v>
  </a>
  <a r="1">
    <v>6.9107000000000003</v>
  </a>
  <a r="1">
    <v>6.6878000000000002</v>
  </a>
  <a r="1">
    <v>0.86729999999999996</v>
  </a>
  <a r="1">
    <v>0.85460000000000003</v>
  </a>
  <a r="1">
    <v>0.85970000000000002</v>
  </a>
  <a r="1">
    <v>0.87490000000000001</v>
  </a>
  <a r="1">
    <v>0.94710000000000005</v>
  </a>
  <a r="1">
    <v>0.93620000000000003</v>
  </a>
  <a r="1">
    <v>0.91679999999999995</v>
  </a>
  <a r="1">
    <v>0.95930000000000004</v>
  </a>
  <a r="1">
    <v>87.95</v>
  </a>
  <a r="1">
    <v>86.09</v>
  </a>
  <a r="1">
    <v>86.11</v>
  </a>
  <a r="1">
    <v>85.1</v>
  </a>
  <a r="1">
    <v>1.2738</v>
  </a>
  <a r="1">
    <v>1.2849999999999999</v>
  </a>
  <a r="1">
    <v>1.3582000000000001</v>
  </a>
  <a r="1">
    <v>1.3589</v>
  </a>
  <a r="1">
    <v>1.2771999999999999</v>
  </a>
  <a r="1">
    <v>1.353</v>
  </a>
  <a r="1">
    <v>1.3855</v>
  </a>
  <a r="1">
    <v>1.2928999999999999</v>
  </a>
  <a r="1">
    <v>29.13</v>
  </a>
  <a r="1">
    <v>49.65</v>
  </a>
  <a r="1">
    <v>48.91</v>
  </a>
  <a r="1">
    <v>55.35</v>
  </a>
  <a r="1">
    <v>125.36</v>
  </a>
  <a r="1">
    <v>268.86</v>
  </a>
  <a r="1">
    <v>108.5</v>
  </a>
  <a r="1">
    <v>115.59</v>
  </a>
  <a r="1">
    <v>69.72</v>
  </a>
  <a r="1">
    <v>60.77</v>
  </a>
  <a r="1">
    <v>58.91</v>
  </a>
  <a r="1">
    <v>33.340000000000003</v>
  </a>
  <a r="1">
    <v>144.44</v>
  </a>
  <a r="1">
    <v>175.06</v>
  </a>
  <a r="1">
    <v>207.79</v>
  </a>
  <a r="1">
    <v>184.71</v>
  </a>
  <a r="1">
    <v>174.43</v>
  </a>
  <a r="1">
    <v>348.78</v>
  </a>
  <a r="1">
    <v>280.74</v>
  </a>
  <a r="1">
    <v>384.84</v>
  </a>
  <a r="1">
    <v>25.5717</v>
  </a>
  <a r="1">
    <v>41.46</v>
  </a>
  <a r="1">
    <v>40.79</v>
  </a>
  <a r="1">
    <v>44.41</v>
  </a>
  <a r="1">
    <v>69.209999999999994</v>
  </a>
  <a r="1">
    <v>64.36</v>
  </a>
  <a r="1">
    <v>55.83</v>
  </a>
  <a r="1">
    <v>44.46</v>
  </a>
  <a r="1">
    <v>155.02000000000001</v>
  </a>
  <a r="1">
    <v>208.65</v>
  </a>
  <a r="1">
    <v>171.24</v>
  </a>
  <a r="1">
    <v>214.86</v>
  </a>
  <a r="1">
    <v>51.84</v>
  </a>
  <a r="1">
    <v>40.229999999999997</v>
  </a>
  <a r="1">
    <v>47.05</v>
  </a>
  <a r="1">
    <v>50.89</v>
  </a>
  <a r="1">
    <v>503.89</v>
  </a>
  <a r="1">
    <v>551.63</v>
  </a>
  <a r="1">
    <v>143.68</v>
  </a>
  <a r="1">
    <v>203.77</v>
  </a>
  <a r="1">
    <v>83.56</v>
  </a>
  <a r="1">
    <v>78.23</v>
  </a>
  <a r="1">
    <v>85.63</v>
  </a>
  <a r="1">
    <v>81.97</v>
  </a>
  <a r="1">
    <v>95.68</v>
  </a>
  <a r="1">
    <v>85.254000000000005</v>
  </a>
  <a r="1">
    <v>94.677499999999995</v>
  </a>
  <a r="1">
    <v>94.266999999999996</v>
  </a>
  <a r="1">
    <v>645.09</v>
  </a>
  <a r="1">
    <v>611.87</v>
  </a>
  <a r="1">
    <v>744.39</v>
  </a>
  <a r="1">
    <v>750.59</v>
  </a>
  <a r="1">
    <v>64374.93</v>
  </a>
  <a r="1">
    <v>76018.81</v>
  </a>
  <a r="1">
    <v>30159</v>
  </a>
  <a r="1">
    <v>21171.25</v>
  </a>
  <a r="1">
    <v>60950</v>
  </a>
  <a r="1">
    <v>107809.32</v>
  </a>
  <a r="1">
    <v>95693</v>
  </a>
  <a r="1">
    <v>68968.399999999994</v>
  </a>
  <a r="1">
    <v>76.605999999999995</v>
  </a>
  <a r="1">
    <v>21.125</v>
  </a>
  <a r="1">
    <v>30.388999999999999</v>
  </a>
  <a r="1">
    <v>22.826000000000001</v>
  </a>
  <a r="1">
    <v>67.933999999999997</v>
  </a>
  <a r="1">
    <v>36.591000000000001</v>
  </a>
  <a r="1">
    <v>65.582999999999998</v>
  </a>
  <a r="1">
    <v>28.93</v>
  </a>
  <a r="1">
    <v>45.880299999999998</v>
  </a>
  <a r="1">
    <v>32.837899999999998</v>
  </a>
  <a r="1">
    <v>35.131599999999999</v>
  </a>
  <a r="1">
    <v>25.913699999999999</v>
  </a>
  <a r="1">
    <v>39.739800000000002</v>
  </a>
  <a r="1">
    <v>44.324199999999998</v>
  </a>
  <a r="1">
    <v>46.460999999999999</v>
  </a>
  <a r="1">
    <v>16.885999999999999</v>
  </a>
  <a r="1">
    <v>1838.9</v>
  </a>
  <a r="1">
    <v>1399.8</v>
  </a>
  <a r="1">
    <v>928.6</v>
  </a>
  <a r="1">
    <v>1023.4</v>
  </a>
  <a r="1">
    <v>1951.6</v>
  </a>
  <a r="1">
    <v>1672.2</v>
  </a>
  <a r="1">
    <v>954.2</v>
  </a>
  <a r="1">
    <v>903.7</v>
  </a>
  <a r="1">
    <v>297.01</v>
  </a>
  <a r="1">
    <v>308.33</v>
  </a>
  <a r="1">
    <v>201</v>
  </a>
  <a r="1">
    <v>252.89</v>
  </a>
  <a r="1">
    <v>433.59</v>
  </a>
  <a r="1">
    <v>372.11</v>
  </a>
  <a r="1">
    <v>325.77999999999997</v>
  </a>
  <a r="1">
    <v>405.05</v>
  </a>
  <a r="1">
    <v>109.99</v>
  </a>
  <a r="1">
    <v>138.47</v>
  </a>
  <a r="1">
    <v>165.43</v>
  </a>
  <a r="1">
    <v>149.81</v>
  </a>
  <a r="1">
    <v>17.579999999999998</v>
  </a>
  <a r="1">
    <v>17.190000000000001</v>
  </a>
  <a r="1">
    <v>6</v>
  </a>
  <a r="1">
    <v>15.98</v>
  </a>
  <a r="1">
    <v>224.81</v>
  </a>
  <a r="1">
    <v>312.73</v>
  </a>
  <a r="1">
    <v>315.39999999999998</v>
  </a>
  <a r="1">
    <v>316.51</v>
  </a>
  <a r="1">
    <v>101.5</v>
  </a>
  <a r="1">
    <v>151.74</v>
  </a>
  <a r="1">
    <v>144.99</v>
  </a>
  <a r="1">
    <v>149.47</v>
  </a>
  <a r="1">
    <v>3.7149999999999999</v>
  </a>
  <a r="1">
    <v>3.5259999999999998</v>
  </a>
  <a r="1">
    <v>2.7450000000000001</v>
  </a>
  <a r="1">
    <v>2.7909999999999999</v>
  </a>
  <a r="1">
    <v>2.9990000000000001</v>
  </a>
  <a r="1">
    <v>6.22</v>
  </a>
  <a r="1">
    <v>3389.6</v>
  </a>
  <a r="1">
    <v>1851.3</v>
  </a>
  <a r="1">
    <v>1733.06</v>
  </a>
  <a r="1">
    <v>2063.2600000000002</v>
  </a>
  <a r="1">
    <v>2446.54</v>
  </a>
  <a r="1">
    <v>2075.84</v>
  </a>
  <a r="1">
    <v>1217.6300000000001</v>
  </a>
  <a r="1">
    <v>3332.7</v>
  </a>
  <a r="1">
    <v>42.99</v>
  </a>
  <a r="1">
    <v>36.5</v>
  </a>
  <a r="1">
    <v>61.14</v>
  </a>
  <a r="1">
    <v>38.82</v>
  </a>
  <a r="1">
    <v>1.37</v>
  </a>
  <a r="1">
    <v>1.3809</v>
  </a>
  <a r="1">
    <v>1.3640000000000001</v>
  </a>
  <a r="1">
    <v>1.2892999999999999</v>
  </a>
  <a r="1">
    <v>1.4407000000000001</v>
  </a>
  <a r="1">
    <v>1.3152999999999999</v>
  </a>
  <a r="1">
    <v>1.4156</v>
  </a>
  <a r="1">
    <v>1.3857999999999999</v>
  </a>
  <a r="1">
    <v>180.15</v>
  </a>
  <a r="1">
    <v>164.95</v>
  </a>
  <a r="1">
    <v>123.11</v>
  </a>
  <a r="1">
    <v>172.44</v>
  </a>
  <a r="1">
    <v>3348</v>
  </a>
  <a r="1">
    <v>4202.7</v>
  </a>
  <a r="1">
    <v>4502.3</v>
  </a>
  <a r="1">
    <v>2313.1999999999998</v>
  </a>
  <a r="1">
    <v>2653.9</v>
  </a>
  <a r="1">
    <v>1933.8</v>
  </a>
  <a r="1">
    <v>1830.3</v>
  </a>
  <a r="1">
    <v>4376.3</v>
  </a>
  <a r="1">
    <v>13.06</v>
  </a>
  <a r="1">
    <v>18.46</v>
  </a>
  <a r="1">
    <v>15.46</v>
  </a>
  <a r="1">
    <v>15.62</v>
  </a>
  <a r="1">
    <v>730.28</v>
  </a>
  <a r="1">
    <v>573.79</v>
  </a>
  <a r="1">
    <v>737.95</v>
  </a>
  <a r="1">
    <v>546.22</v>
  </a>
  <a r="1">
    <v>144.37</v>
  </a>
  <a r="1">
    <v>135.16999999999999</v>
  </a>
  <a r="1">
    <v>160.79</v>
  </a>
  <a r="1">
    <v>159.80000000000001</v>
  </a>
  <a r="1">
    <v>159.29</v>
  </a>
  <a r="1">
    <v>143.5</v>
  </a>
  <a r="1">
    <v>161.54</v>
  </a>
  <a r="1">
    <v>158</v>
  </a>
</arrayData>
</file>

<file path=xl/richData/rdrichvalue.xml><?xml version="1.0" encoding="utf-8"?>
<rvData xmlns="http://schemas.microsoft.com/office/spreadsheetml/2017/richdata" count="294">
  <rv s="0">
    <v>https://www.bing.com/financeapi/forcetrigger?t=a23hqh&amp;q=ARCX%3aSPY&amp;form=skydnc</v>
    <v>Learn more on Bing</v>
  </rv>
  <rv s="1">
    <v>en-CA</v>
    <v>a23hqh</v>
    <v>268435456</v>
    <v>1</v>
    <v>Powered by Refinitiv</v>
    <v>0</v>
    <v>State Street SPDR S&amp;P500 (ARCX:SPY)</v>
    <v>2</v>
    <v>3</v>
    <v>Finance</v>
    <v>4</v>
    <v>760.4</v>
    <v>608.37</v>
    <v>0.99870000000000003</v>
    <v>-5.31</v>
    <v>3.0320000000000004E-3</v>
    <v>-7.2309999999999996E-3</v>
    <v>2.2105999999999999</v>
    <v>USD</v>
    <v>NYSE Arca</v>
    <v>ARCX</v>
    <v>9.4499999999999998E-4</v>
    <v>736.53</v>
    <v>ETF</v>
    <v>46200.000000289059</v>
    <v>0</v>
    <v>716.58</v>
    <v>783796407176.76001</v>
    <v>State Street SPDR S&amp;P500</v>
    <v>728.94500000000005</v>
    <v>734.3</v>
    <v>728.99</v>
    <v>731.20060000000001</v>
    <v>SPY</v>
    <v>State Street SPDR S&amp;P500 (ARCX:SPY)</v>
    <v>71033969</v>
    <v>54081956</v>
  </rv>
  <rv s="2">
    <v>1</v>
  </rv>
  <rv s="0">
    <v>https://www.bing.com/financeapi/forcetrigger?t=a21mim&amp;q=XNAS%3aQQQ&amp;form=skydnc</v>
    <v>Learn more on Bing</v>
  </rv>
  <rv s="1">
    <v>en-CA</v>
    <v>a21mim</v>
    <v>268435456</v>
    <v>1</v>
    <v>Powered by Refinitiv</v>
    <v>0</v>
    <v>Invesco QQQ Trust 1 (XNAS:QQQ)</v>
    <v>2</v>
    <v>3</v>
    <v>Finance</v>
    <v>4</v>
    <v>748.65</v>
    <v>541.52</v>
    <v>1.0143</v>
    <v>-9.86</v>
    <v>-5.3780000000000006E-4</v>
    <v>-1.3764E-2</v>
    <v>-0.38</v>
    <v>USD</v>
    <v>Nasdaq Stock Market</v>
    <v>XNAS</v>
    <v>1.8E-3</v>
    <v>715.55499999999995</v>
    <v>ETF</v>
    <v>46199.999986503906</v>
    <v>3</v>
    <v>702.81</v>
    <v>493982650931.38</v>
    <v>Invesco QQQ Trust 1</v>
    <v>707.13</v>
    <v>716.38</v>
    <v>706.52</v>
    <v>706.14</v>
    <v>QQQ</v>
    <v>Invesco QQQ Trust 1 (XNAS:QQQ)</v>
    <v>47081821</v>
    <v>48472646</v>
  </rv>
  <rv s="2">
    <v>4</v>
  </rv>
  <rv s="0">
    <v>https://www.bing.com/financeapi/forcetrigger?t=ab1y3m&amp;q=XTSE%3aXIU&amp;form=skydnc</v>
    <v>Learn more on Bing</v>
  </rv>
  <rv s="3">
    <v>en-CA</v>
    <v>ab1y3m</v>
    <v>268435456</v>
    <v>1</v>
    <v>Powered by Refinitiv</v>
    <v>5</v>
    <v>iShares S&amp;P/TSX 60 Index ETF (XTSE:XIU)</v>
    <v>2</v>
    <v>6</v>
    <v>Finance</v>
    <v>7</v>
    <v>52.575000000000003</v>
    <v>39.905000000000001</v>
    <v>0.96819999999999995</v>
    <v>0.05</v>
    <v>9.6319999999999999E-4</v>
    <v>CAD</v>
    <v>Toronto Stock Exchange</v>
    <v>XTSE</v>
    <v>1.8E-3</v>
    <v>52.19</v>
    <v>ETF</v>
    <v>46199.833321759259</v>
    <v>6</v>
    <v>51.74</v>
    <v>22732168257.689999</v>
    <v>iShares S&amp;P/TSX 60 Index ETF</v>
    <v>51.8</v>
    <v>51.91</v>
    <v>51.96</v>
    <v>XIU</v>
    <v>iShares S&amp;P/TSX 60 Index ETF (XTSE:XIU)</v>
    <v>2164850</v>
  </rv>
  <rv s="2">
    <v>7</v>
  </rv>
  <rv s="0">
    <v>https://www.bing.com/financeapi/forcetrigger?t=a24b5r&amp;q=XNAS%3aTLT&amp;form=skydnc</v>
    <v>Learn more on Bing</v>
  </rv>
  <rv s="1">
    <v>en-CA</v>
    <v>a24b5r</v>
    <v>268435456</v>
    <v>1</v>
    <v>Powered by Refinitiv</v>
    <v>0</v>
    <v>iShares:20+ Trs Bd ETF (XNAS:TLT)</v>
    <v>2</v>
    <v>3</v>
    <v>Finance</v>
    <v>4</v>
    <v>92.185000000000002</v>
    <v>82.77</v>
    <v>1.1062000000000001</v>
    <v>0.01</v>
    <v>-2.336E-3</v>
    <v>1.145E-4</v>
    <v>-0.2041</v>
    <v>USD</v>
    <v>Nasdaq Stock Market</v>
    <v>XNAS</v>
    <v>1.5E-3</v>
    <v>87.37</v>
    <v>ETF</v>
    <v>46199.999960196095</v>
    <v>9</v>
    <v>87.000100000000003</v>
    <v>42895948138.900002</v>
    <v>iShares:20+ Trs Bd ETF</v>
    <v>87.01</v>
    <v>87.35</v>
    <v>87.36</v>
    <v>87.155900000000003</v>
    <v>TLT</v>
    <v>iShares:20+ Trs Bd ETF (XNAS:TLT)</v>
    <v>21650818</v>
    <v>26415762</v>
  </rv>
  <rv s="2">
    <v>10</v>
  </rv>
  <rv s="4">
    <v>en-CA</v>
    <v>cfzfpr</v>
    <v>268435456</v>
    <v>1</v>
    <v>Powered by Refinitiv</v>
    <v>8</v>
    <v>Sprott Active Au &amp; Ag (XNAS:GBUG)</v>
    <v>9</v>
    <v>10</v>
    <v>Finance</v>
    <v>4</v>
    <v>59.02</v>
    <v>24.154699999999998</v>
    <v>1.0521</v>
    <v>0</v>
    <v>2.7268000000000001E-2</v>
    <v>0</v>
    <v>USD</v>
    <v>Nasdaq Stock Market</v>
    <v>XNAS</v>
    <v>8.8999999999999999E-3</v>
    <v>40.3262</v>
    <v>ETF</v>
    <v>46199.843750126565</v>
    <v>39.024999999999999</v>
    <v>166169614.22</v>
    <v>Sprott Active Au &amp; Ag</v>
    <v>39.159999999999997</v>
    <v>38.583399999999997</v>
    <v>39.6355</v>
    <v>39.6355</v>
    <v>GBUG</v>
    <v>Sprott Active Au &amp; Ag (XNAS:GBUG)</v>
    <v>16183</v>
    <v>37076</v>
  </rv>
  <rv s="2">
    <v>12</v>
  </rv>
  <rv s="0">
    <v>https://www.bing.com/financeapi/forcetrigger?t=aay9k2&amp;q=XTSE%3aFNV&amp;form=skydnc</v>
    <v>Learn more on Bing</v>
  </rv>
  <rv s="5">
    <v>en-CA</v>
    <v>aay9k2</v>
    <v>268435456</v>
    <v>1</v>
    <v>Powered by Refinitiv</v>
    <v>11</v>
    <v>Franco-Nevada Corporation (XTSE:FNV)</v>
    <v>12</v>
    <v>13</v>
    <v>Finance</v>
    <v>14</v>
    <v>388.22</v>
    <v>210.19</v>
    <v>0.89529999999999998</v>
    <v>6.94</v>
    <v>0</v>
    <v>2.3258999999999998E-2</v>
    <v>0</v>
    <v>CAD</v>
    <v>Franco-Nevada Corporation is a Canada-based gold-focused royalty and streaming company. The Company’s segments include precious metals, other mining and energy. The Company’s portfolio is diversified by commodity, geography and asset. Its assets include Candelaria, Antapaccay, Antamina, Condestable, Tocantinzinho, Cerro Moro, Salares Norte, Cascabel (Alpala), Posse (Mara Rosa), CentroGold (Gurupi), Calcatreu, and San Jorge. Its other mining assets include NuevaUnion, Taca Taca, Caserones, Copper World Project, Ring of Fire, Mt Keith, Crawford, Robinson, EaglePicher, Copper World Project, and Milpillas. Its United States assets include Stillwater, Goldstrike, Gold Quarry, Marigold, Bald Mountain, South Arturo, Mesquite, Castle Mountain, Stibnite Gold, Sterling, Granite Creek (Pinson) and Arthur Gold Project. Its Canadian assets include Detour Lake, Sudbury, Hemlo, Brucejack, Macassa (Kirkland Lake), Dublin Gulch (Eagle), Musselwhite, and Timmins West.</v>
    <v>41</v>
    <v>Toronto Stock Exchange</v>
    <v>XTSE</v>
    <v>XTSE</v>
    <v>199 Bay Street, Suite 2000, P.O. Box 285, Commerce Court Postal Station, TORONTO, ON, M5L 1G9 CA</v>
    <v>308.22000000000003</v>
    <v>Metals &amp; Mining</v>
    <v>Stock</v>
    <v>46199.833333333336</v>
    <v>14</v>
    <v>299.54000000000002</v>
    <v>58882641260</v>
    <v>Franco-Nevada Corporation</v>
    <v>Franco-Nevada Corporation</v>
    <v>299.75</v>
    <v>30.916399999999999</v>
    <v>298.38</v>
    <v>305.32</v>
    <v>305.32</v>
    <v>192855500</v>
    <v>FNV</v>
    <v>Franco-Nevada Corporation (XTSE:FNV)</v>
    <v>549665</v>
    <v>519340</v>
    <v>2008</v>
  </rv>
  <rv s="2">
    <v>15</v>
  </rv>
  <rv s="0">
    <v>https://www.bing.com/financeapi/forcetrigger?t=ab1tfr&amp;q=XTSE%3aWPM&amp;form=skydnc</v>
    <v>Learn more on Bing</v>
  </rv>
  <rv s="5">
    <v>en-CA</v>
    <v>ab1tfr</v>
    <v>268435456</v>
    <v>1</v>
    <v>Powered by Refinitiv</v>
    <v>11</v>
    <v>Wheaton Precious Metals Corp. (XTSE:WPM)</v>
    <v>12</v>
    <v>13</v>
    <v>Finance</v>
    <v>14</v>
    <v>226.68</v>
    <v>117.13</v>
    <v>1.1872</v>
    <v>0.37</v>
    <v>1.804E-3</v>
    <v>2.3080000000000002E-3</v>
    <v>0.28999999999999998</v>
    <v>CAD</v>
    <v>Wheaton Precious Metals Corp. is a Canada-based precious metals streaming company. The Company, through strategic streaming agreements, partners with mining companies to secure a portion of their future precious metal production. The Company has approximately 35 streaming agreements. Its segments include Gold, Silver, Palladium, Platinum and Cobalt. Its gold segment includes Salobo, Sudbury, Constancia, San Dimas, Stillwater, Blackwater, Platreef and others. Its Silver segment includes Penasquito, Antamina, Constancia, Blackwater and others. Its Palladium segment includes Stillwater and Platreef. Its Platinum segment includes Marathon and Platreef. Its Cobalt segment includes Voisey's Bay. The Company has also entered into a definitive agreement to acquire the Spring Valley Project located in Nevada, United States of America.</v>
    <v>42</v>
    <v>Toronto Stock Exchange</v>
    <v>XTSE</v>
    <v>XTSE</v>
    <v>1021 West Hastings Street Suite 3500, BC, V6E 0C3 CA</v>
    <v>163.27000000000001</v>
    <v>Metals &amp; Mining</v>
    <v>Stock</v>
    <v>46199.833333333336</v>
    <v>17</v>
    <v>159.97999999999999</v>
    <v>72982444821</v>
    <v>Wheaton Precious Metals Corp.</v>
    <v>Wheaton Precious Metals Corp.</v>
    <v>161</v>
    <v>29.189800000000002</v>
    <v>160.34</v>
    <v>160.71</v>
    <v>161</v>
    <v>454125100</v>
    <v>WPM</v>
    <v>Wheaton Precious Metals Corp. (XTSE:WPM)</v>
    <v>854171</v>
    <v>999240</v>
    <v>1994</v>
  </rv>
  <rv s="2">
    <v>18</v>
  </rv>
  <rv s="0">
    <v>https://www.bing.com/financeapi/forcetrigger?t=aaxdur&amp;q=XTSE%3aCCO&amp;form=skydnc</v>
    <v>Learn more on Bing</v>
  </rv>
  <rv s="5">
    <v>en-CA</v>
    <v>aaxdur</v>
    <v>268435456</v>
    <v>1</v>
    <v>Powered by Refinitiv</v>
    <v>11</v>
    <v>CAMECO CORPORATION (XTSE:CCO)</v>
    <v>12</v>
    <v>13</v>
    <v>Finance</v>
    <v>14</v>
    <v>182.72</v>
    <v>94.96</v>
    <v>0.99780000000000002</v>
    <v>1.1299999999999999</v>
    <v>1.3515999999999999E-2</v>
    <v>7.6949999999999996E-3</v>
    <v>2</v>
    <v>CAD</v>
    <v>Cameco Corporation is a provider of uranium fuel to generate baseload electricity around the globe. Its segments include uranium, fuel services and Westinghouse. The uranium segment involves the exploration for, mining, milling, purchase and sale of uranium concentrate. The fuel services segment involves the refining, conversion and fabrication of uranium concentrate and the purchase and sale of conversion services. The Westinghouse segment reflects its earnings from this equity-accounted investment. Westinghouse is a nuclear reactor technology original equipment manufacturer and a global provider of products and services to commercial utilities and government agencies. It provides outage and maintenance services, engineering support, instrumentation and controls equipment, plant modification, and components and parts to nuclear reactors. It has two operating mines, Cigar Lake and McArthur River as well as a mill at Key Lake. It also has ownership interests in Global Laser Enrichment.</v>
    <v>2424</v>
    <v>Toronto Stock Exchange</v>
    <v>XTSE</v>
    <v>XTSE</v>
    <v>2121 11th St W, SASKATOON, SK, S7M 1J3 CA</v>
    <v>151.29</v>
    <v>Uranium</v>
    <v>Stock</v>
    <v>46199.833333333336</v>
    <v>20</v>
    <v>144.5</v>
    <v>64445818010</v>
    <v>CAMECO CORPORATION</v>
    <v>CAMECO CORPORATION</v>
    <v>145</v>
    <v>99.073999999999998</v>
    <v>146.84</v>
    <v>147.97</v>
    <v>149.97</v>
    <v>435533000</v>
    <v>CCO</v>
    <v>CAMECO CORPORATION (XTSE:CCO)</v>
    <v>797686</v>
    <v>930500</v>
    <v>1997</v>
  </rv>
  <rv s="2">
    <v>21</v>
  </rv>
  <rv s="0">
    <v>https://www.bing.com/financeapi/forcetrigger?t=a1yv52&amp;q=XNAS%3aNVDA&amp;form=skydnc</v>
    <v>Learn more on Bing</v>
  </rv>
  <rv s="5">
    <v>en-CA</v>
    <v>a1yv52</v>
    <v>268435456</v>
    <v>1</v>
    <v>Powered by Refinitiv</v>
    <v>11</v>
    <v>NVIDIA CORPORATION (XNAS:NVDA)</v>
    <v>12</v>
    <v>15</v>
    <v>Finance</v>
    <v>16</v>
    <v>236.54</v>
    <v>151.49</v>
    <v>2.2172999999999998</v>
    <v>-3.21</v>
    <v>1.3500000000000001E-3</v>
    <v>-1.6399E-2</v>
    <v>0.26</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195.55</v>
    <v>Semiconductors &amp; Semiconductor Equipment</v>
    <v>Stock</v>
    <v>46199.999978275002</v>
    <v>23</v>
    <v>191.22</v>
    <v>4659226000000</v>
    <v>NVIDIA CORPORATION</v>
    <v>NVIDIA CORPORATION</v>
    <v>193.12</v>
    <v>29.483899999999998</v>
    <v>195.74</v>
    <v>192.53</v>
    <v>192.79</v>
    <v>24200000000</v>
    <v>NVDA</v>
    <v>NVIDIA CORPORATION (XNAS:NVDA)</v>
    <v>179304147</v>
    <v>171030335</v>
    <v>1998</v>
  </rv>
  <rv s="2">
    <v>24</v>
  </rv>
  <rv s="0">
    <v>https://www.bing.com/financeapi/forcetrigger?t=a1ndww&amp;q=XNAS%3aAMD&amp;form=skydnc</v>
    <v>Learn more on Bing</v>
  </rv>
  <rv s="5">
    <v>en-CA</v>
    <v>a1ndww</v>
    <v>268435456</v>
    <v>1</v>
    <v>Powered by Refinitiv</v>
    <v>11</v>
    <v>ADVANCED MICRO DEVICES, INC. (XNAS:AMD)</v>
    <v>12</v>
    <v>15</v>
    <v>Finance</v>
    <v>16</v>
    <v>562.98990000000003</v>
    <v>133.5</v>
    <v>2.4702999999999999</v>
    <v>-10.99</v>
    <v>-5.5249999999999995E-3</v>
    <v>-2.0636000000000002E-2</v>
    <v>-2.8816999999999999</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525.11</v>
    <v>Semiconductors &amp; Semiconductor Equipment</v>
    <v>Stock</v>
    <v>46199.999996400002</v>
    <v>26</v>
    <v>502.61</v>
    <v>850488869580</v>
    <v>ADVANCED MICRO DEVICES, INC.</v>
    <v>ADVANCED MICRO DEVICES, INC.</v>
    <v>519.79499999999996</v>
    <v>173.86580000000001</v>
    <v>532.57000000000005</v>
    <v>521.58000000000004</v>
    <v>518.69830000000002</v>
    <v>1630601000</v>
    <v>AMD</v>
    <v>ADVANCED MICRO DEVICES, INC. (XNAS:AMD)</v>
    <v>52705137</v>
    <v>31396939</v>
    <v>1969</v>
  </rv>
  <rv s="2">
    <v>27</v>
  </rv>
  <rv s="0">
    <v>https://www.bing.com/financeapi/forcetrigger?t=a1u3p2&amp;q=XNAS%3aGOOG&amp;form=skydnc</v>
    <v>Learn more on Bing</v>
  </rv>
  <rv s="5">
    <v>en-CA</v>
    <v>a1u3p2</v>
    <v>268435456</v>
    <v>1</v>
    <v>Powered by Refinitiv</v>
    <v>11</v>
    <v>ALPHABET INC. (XNAS:GOOG)</v>
    <v>12</v>
    <v>15</v>
    <v>Finance</v>
    <v>16</v>
    <v>404.47</v>
    <v>170.86</v>
    <v>1.2645999999999999</v>
    <v>-7.5</v>
    <v>4.3189999999999999E-3</v>
    <v>-2.1918000000000003E-2</v>
    <v>1.4455</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194668</v>
    <v>Nasdaq Stock Market</v>
    <v>XNAS</v>
    <v>XNAS</v>
    <v>1600 Amphitheatre Parkway, MOUNTAIN VIEW, CA, 94043 US</v>
    <v>344.12</v>
    <v>Software &amp; IT Services</v>
    <v>Stock</v>
    <v>46199.999979375003</v>
    <v>29</v>
    <v>333.69</v>
    <v>4074703486400</v>
    <v>ALPHABET INC.</v>
    <v>ALPHABET INC.</v>
    <v>340.98</v>
    <v>25.5608</v>
    <v>342.19</v>
    <v>334.69</v>
    <v>336.13549999999998</v>
    <v>12174560000</v>
    <v>GOOG</v>
    <v>ALPHABET INC. (XNAS:GOOG)</v>
    <v>82484582</v>
    <v>23845541</v>
    <v>2015</v>
  </rv>
  <rv s="2">
    <v>30</v>
  </rv>
  <rv s="0">
    <v>https://www.bing.com/financeapi/forcetrigger?t=a269ec&amp;q=XNYS%3aXOM&amp;form=skydnc</v>
    <v>Learn more on Bing</v>
  </rv>
  <rv s="5">
    <v>en-CA</v>
    <v>a269ec</v>
    <v>268435456</v>
    <v>1</v>
    <v>Powered by Refinitiv</v>
    <v>11</v>
    <v>EXXON MOBIL CORPORATION (XNYS:XOM)</v>
    <v>12</v>
    <v>15</v>
    <v>Finance</v>
    <v>16</v>
    <v>176.41</v>
    <v>105.52500000000001</v>
    <v>0.17230000000000001</v>
    <v>-1.01</v>
    <v>3.8080000000000002E-3</v>
    <v>-7.3429999999999997E-3</v>
    <v>0.52</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137.58000000000001</v>
    <v>Oil &amp; Gas</v>
    <v>Stock</v>
    <v>46199.999764907028</v>
    <v>32</v>
    <v>135.91499999999999</v>
    <v>565951063380</v>
    <v>EXXON MOBIL CORPORATION</v>
    <v>EXXON MOBIL CORPORATION</v>
    <v>136.97</v>
    <v>23.0962</v>
    <v>137.55000000000001</v>
    <v>136.54</v>
    <v>137.06</v>
    <v>4144947000</v>
    <v>XOM</v>
    <v>EXXON MOBIL CORPORATION (XNYS:XOM)</v>
    <v>22684232</v>
    <v>17505921</v>
    <v>1882</v>
  </rv>
  <rv s="2">
    <v>33</v>
  </rv>
  <rv s="0">
    <v>https://www.bing.com/financeapi/forcetrigger?t=a1qlz2&amp;q=XNYS%3aCVX&amp;form=skydnc</v>
    <v>Learn more on Bing</v>
  </rv>
  <rv s="5">
    <v>en-CA</v>
    <v>a1qlz2</v>
    <v>268435456</v>
    <v>1</v>
    <v>Powered by Refinitiv</v>
    <v>11</v>
    <v>CHEVRON CORPORATION (XNYS:CVX)</v>
    <v>12</v>
    <v>15</v>
    <v>Finance</v>
    <v>16</v>
    <v>214.71</v>
    <v>142.4</v>
    <v>0.49009999999999998</v>
    <v>-1.18</v>
    <v>5.1049999999999993E-3</v>
    <v>-6.8510000000000003E-3</v>
    <v>0.87319999999999998</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172.25</v>
    <v>Oil &amp; Gas</v>
    <v>Stock</v>
    <v>46199.999978899999</v>
    <v>35</v>
    <v>169.93</v>
    <v>340682753880</v>
    <v>CHEVRON CORPORATION</v>
    <v>CHEVRON CORPORATION</v>
    <v>172.24</v>
    <v>29.695900000000002</v>
    <v>172.24</v>
    <v>171.06</v>
    <v>171.9332</v>
    <v>1991598000</v>
    <v>CVX</v>
    <v>CHEVRON CORPORATION (XNYS:CVX)</v>
    <v>13102150</v>
    <v>9412669</v>
    <v>1926</v>
  </rv>
  <rv s="2">
    <v>36</v>
  </rv>
  <rv s="4">
    <v>en-CA</v>
    <v>cc5pdm</v>
    <v>268435456</v>
    <v>1</v>
    <v>Powered by Refinitiv</v>
    <v>8</v>
    <v>iShares Bitcoin Trust (XNAS:IBIT)</v>
    <v>9</v>
    <v>10</v>
    <v>Finance</v>
    <v>4</v>
    <v>71.819999999999993</v>
    <v>32.840000000000003</v>
    <v>0.33</v>
    <v>3.8379999999999998E-3</v>
    <v>9.8449999999999996E-3</v>
    <v>0.12989999999999999</v>
    <v>USD</v>
    <v>Nasdaq Stock Market</v>
    <v>XNAS</v>
    <v>2.5000000000000001E-3</v>
    <v>34.26</v>
    <v>ETF</v>
    <v>46199.999983842186</v>
    <v>33.25</v>
    <v>58118957374.68</v>
    <v>iShares Bitcoin Trust</v>
    <v>33.28</v>
    <v>33.520000000000003</v>
    <v>33.85</v>
    <v>33.979900000000001</v>
    <v>IBIT</v>
    <v>iShares Bitcoin Trust (XNAS:IBIT)</v>
    <v>59375790</v>
    <v>51056362</v>
  </rv>
  <rv s="2">
    <v>38</v>
  </rv>
  <rv s="4">
    <v>en-CA</v>
    <v>ce8mrw</v>
    <v>268435456</v>
    <v>1</v>
    <v>Powered by Refinitiv</v>
    <v>8</v>
    <v>iShares Ethereum Trust (XNAS:ETHA)</v>
    <v>9</v>
    <v>10</v>
    <v>Finance</v>
    <v>4</v>
    <v>36.799999999999997</v>
    <v>11.525</v>
    <v>0.15</v>
    <v>1.3289999999999999E-3</v>
    <v>1.2777E-2</v>
    <v>1.5800000000000002E-2</v>
    <v>USD</v>
    <v>Nasdaq Stock Market</v>
    <v>XNAS</v>
    <v>2.3E-3</v>
    <v>12.01</v>
    <v>ETF</v>
    <v>46199.999624108597</v>
    <v>11.525</v>
    <v>5914945183.71</v>
    <v>iShares Ethereum Trust</v>
    <v>11.56</v>
    <v>11.74</v>
    <v>11.89</v>
    <v>11.905799999999999</v>
    <v>ETHA</v>
    <v>iShares Ethereum Trust (XNAS:ETHA)</v>
    <v>31523735</v>
    <v>32021556</v>
  </rv>
  <rv s="2">
    <v>40</v>
  </rv>
  <rv s="0">
    <v>https://www.bing.com/financeapi/forcetrigger?t=a1sp52&amp;q=XNYS%3aFCX&amp;form=skydnc</v>
    <v>Learn more on Bing</v>
  </rv>
  <rv s="5">
    <v>en-CA</v>
    <v>a1sp52</v>
    <v>268435456</v>
    <v>1</v>
    <v>Powered by Refinitiv</v>
    <v>11</v>
    <v>FREEPORT-MCMORAN INC. (XNYS:FCX)</v>
    <v>12</v>
    <v>15</v>
    <v>Finance</v>
    <v>16</v>
    <v>72.275000000000006</v>
    <v>35.15</v>
    <v>1.3626</v>
    <v>-0.35</v>
    <v>8.0219999999999998E-4</v>
    <v>-5.5729999999999998E-3</v>
    <v>5.0099999999999999E-2</v>
    <v>USD</v>
    <v>Freeport-McMoRan Inc. is a metals company. The Company operates assets with reserves of copper, gold and molybdenum. Its portfolio of assets includes the Grasberg minerals district in Indonesia, which is a copper and gold deposit; and operations in the United States, including the large-scale Morenci minerals district in North America and the Cerro Verde operation in South America. Its segments include Cerro Verde copper mine, Indonesia operations and United States Rod &amp; Refining operations. It produces copper concentrate, cathode and continuous cast copper rod. Its copper ore from mines is processed by smelting and refining or by solution extraction and electrowinning (SX/EW). It produces copper cathodes at an electrolytic refinery located in El Paso, Texas. The SX/EW cathode is produced from the Morenci, Bagdad, Safford, Sierrita, Miami, Chino and Tyrone mines in the United States, and from the Cerro Verde and El Abra mines in South America.</v>
    <v>29000</v>
    <v>New York Stock Exchange</v>
    <v>XNYS</v>
    <v>XNYS</v>
    <v>333 N Central Ave, PHOENIX, AZ, 85004 US</v>
    <v>62.999899999999997</v>
    <v>Metals &amp; Mining</v>
    <v>Stock</v>
    <v>46199.99983359922</v>
    <v>42</v>
    <v>61.634999999999998</v>
    <v>89775622000</v>
    <v>FREEPORT-MCMORAN INC.</v>
    <v>FREEPORT-MCMORAN INC.</v>
    <v>62.06</v>
    <v>33.250399999999999</v>
    <v>62.8</v>
    <v>62.45</v>
    <v>62.500100000000003</v>
    <v>1437560000</v>
    <v>FCX</v>
    <v>FREEPORT-MCMORAN INC. (XNYS:FCX)</v>
    <v>24660462</v>
    <v>13487297</v>
    <v>1987</v>
  </rv>
  <rv s="2">
    <v>43</v>
  </rv>
  <rv s="0">
    <v>https://www.bing.com/financeapi/forcetrigger?t=a1upz2&amp;q=XNYS%3aHL&amp;form=skydnc</v>
    <v>Learn more on Bing</v>
  </rv>
  <rv s="5">
    <v>en-CA</v>
    <v>a1upz2</v>
    <v>268435456</v>
    <v>1</v>
    <v>Powered by Refinitiv</v>
    <v>11</v>
    <v>HECLA MINING COMPANY (XNYS:HL)</v>
    <v>12</v>
    <v>15</v>
    <v>Finance</v>
    <v>16</v>
    <v>34.17</v>
    <v>5.4749999999999996</v>
    <v>1.3012999999999999</v>
    <v>0.39</v>
    <v>6.4350000000000008E-4</v>
    <v>2.5743000000000002E-2</v>
    <v>0.01</v>
    <v>USD</v>
    <v>Hecla Mining Company is a silver producer in the United States and Canada. It discovers, acquires and develops mines and other mineral interests and produces and markets concentrates containing silver, gold, lead, zinc and copper; carbon material containing silver and gold, and unrefined dore containing silver and gold. Its segments include Greens Creek, Lucky Friday, and Keno Hill. Greens Creek operation is located on Admiralty Island, near Juneau, Alaska. The Greens Creek property includes over 440 unpatented lode mining claims, 58 unpatented mill site claims, 21 patented lode claims and one patented mill site. Lucky Friday mine is a deep underground silver, lead, and zinc mine located in the Coeur d'Alene Mining District in northern Idaho. The Keno Hill unit is located in the central Yukon Territory, Canada, and covers an area of approximately 15,000 hectares in central Yukon. The total Hecla Keno Hill mineral claims cover an area of approximately 238.12 square kilometers.</v>
    <v>1865</v>
    <v>New York Stock Exchange</v>
    <v>XNYS</v>
    <v>XNYS</v>
    <v>NONE, 6500 N MINERAL DRIVE SUITE 200, COEUR D'ALENE, ID, 83815-9408 US</v>
    <v>15.98</v>
    <v>Metals &amp; Mining</v>
    <v>Stock</v>
    <v>46199.997979918749</v>
    <v>45</v>
    <v>15.13</v>
    <v>10422870696</v>
    <v>HECLA MINING COMPANY</v>
    <v>HECLA MINING COMPANY</v>
    <v>15.22</v>
    <v>22.3096</v>
    <v>15.15</v>
    <v>15.54</v>
    <v>15.55</v>
    <v>670712400</v>
    <v>HL</v>
    <v>HECLA MINING COMPANY (XNYS:HL)</v>
    <v>112442650</v>
    <v>22477991</v>
    <v>2006</v>
  </rv>
  <rv s="2">
    <v>46</v>
  </rv>
  <rv s="0">
    <v>https://www.bing.com/financeapi/forcetrigger?t=a233ur&amp;q=ARCX%3aSLV&amp;form=skydnc</v>
    <v>Learn more on Bing</v>
  </rv>
  <rv s="1">
    <v>en-CA</v>
    <v>a233ur</v>
    <v>268435456</v>
    <v>1</v>
    <v>Powered by Refinitiv</v>
    <v>0</v>
    <v>IShares:Silver Trust (ARCX:SLV)</v>
    <v>2</v>
    <v>3</v>
    <v>Finance</v>
    <v>4</v>
    <v>109.83</v>
    <v>32.53</v>
    <v>1.3754</v>
    <v>0.92</v>
    <v>4.1289999999999999E-3</v>
    <v>1.7571E-2</v>
    <v>0.22</v>
    <v>USD</v>
    <v>NYSE Arca</v>
    <v>ARCX</v>
    <v>5.0000000000000001E-3</v>
    <v>53.87</v>
    <v>ETF</v>
    <v>46200.000002407032</v>
    <v>48</v>
    <v>52.459299999999999</v>
    <v>36822408983.260002</v>
    <v>IShares:Silver Trust</v>
    <v>52.87</v>
    <v>52.36</v>
    <v>53.28</v>
    <v>53.5</v>
    <v>SLV</v>
    <v>IShares:Silver Trust (ARCX:SLV)</v>
    <v>15469232</v>
    <v>22476157</v>
  </rv>
  <rv s="2">
    <v>49</v>
  </rv>
  <rv s="0">
    <v>https://www.bing.com/financeapi/forcetrigger?t=a1mou2&amp;q=XNAS%3aAAPL&amp;form=skydnc</v>
    <v>Learn more on Bing</v>
  </rv>
  <rv s="5">
    <v>en-CA</v>
    <v>a1mou2</v>
    <v>268435456</v>
    <v>1</v>
    <v>Powered by Refinitiv</v>
    <v>11</v>
    <v>APPLE INC. (XNAS:AAPL)</v>
    <v>12</v>
    <v>15</v>
    <v>Finance</v>
    <v>16</v>
    <v>317.39999999999998</v>
    <v>199.26070000000001</v>
    <v>1.1059000000000001</v>
    <v>8.6300000000000008</v>
    <v>-3.993E-3</v>
    <v>3.1364999999999997E-2</v>
    <v>-1.1331</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285.95</v>
    <v>Computers, Phones &amp; Household Electronics</v>
    <v>Stock</v>
    <v>46199.999979895314</v>
    <v>51</v>
    <v>274.20999999999998</v>
    <v>4167979020799</v>
    <v>APPLE INC.</v>
    <v>APPLE INC.</v>
    <v>275</v>
    <v>34.465299999999999</v>
    <v>275.14999999999998</v>
    <v>283.77999999999997</v>
    <v>282.64690000000002</v>
    <v>14687360000</v>
    <v>AAPL</v>
    <v>APPLE INC. (XNAS:AAPL)</v>
    <v>261775450</v>
    <v>53987753</v>
    <v>1977</v>
  </rv>
  <rv s="2">
    <v>52</v>
  </rv>
  <rv s="0">
    <v>https://www.bing.com/financeapi/forcetrigger?t=a1zfec&amp;q=XNAS%3aPAAS&amp;form=skydnc</v>
    <v>Learn more on Bing</v>
  </rv>
  <rv s="5">
    <v>en-CA</v>
    <v>a1zfec</v>
    <v>268435456</v>
    <v>1</v>
    <v>Powered by Refinitiv</v>
    <v>11</v>
    <v>Pan American Silver Corp. (XNYS:PAAS)</v>
    <v>12</v>
    <v>17</v>
    <v>Finance</v>
    <v>16</v>
    <v>69.989999999999995</v>
    <v>26.765000000000001</v>
    <v>1.5448</v>
    <v>0.46</v>
    <v>7.7010000000000004E-3</v>
    <v>1.0224E-2</v>
    <v>0.35</v>
    <v>USD</v>
    <v>Pan American Silver Corp. is a producer of silver and gold in the Americas, operating mines in Canada, Mexico, Peru, Brazil, Bolivia, Chile and Argentina. It owns a 100% interest in the Escobal mine in Guatemala, and it holds interests in exploration and development projects. Its segments include Silver, Gold and Other. Silver segment includes operations of La Colorada, Huaron, San Vicente, Cerro Moro, La Colorada Skarn, Navidad and Escobal. Gold segment includes operations in Dolores, Shahuindo, Timmins, Jacobina, El Penon and Minera Florida. La Colorada mine produces silver-rich lead and zinc concentrates from a flotation plant treating sulfide ore. Huaron mine produces silver-rich zinc, lead and copper concentrates using floatation technology. It owns 44% joint venture interest in the Juanicipio silver mine in Zacatecas, Mexico, operated by Fresnillo plc, along with 100% ownership of the Larder exploration project and a 100% earn-in interest in the Deer Trail exploration project.</v>
    <v>9348</v>
    <v>New York Stock Exchange</v>
    <v>XNYS</v>
    <v>XNYS</v>
    <v>2100 - 733 Seymour Street, BC, V6B 0S6 CA</v>
    <v>46.53</v>
    <v>Metals &amp; Mining</v>
    <v>Stock</v>
    <v>46199.998566180468</v>
    <v>54</v>
    <v>45.17</v>
    <v>32779090000</v>
    <v>Pan American Silver Corp.</v>
    <v>Pan American Silver Corp.</v>
    <v>45.27</v>
    <v>14.5724</v>
    <v>44.99</v>
    <v>45.45</v>
    <v>45.8</v>
    <v>421350000</v>
    <v>PAAS</v>
    <v>Pan American Silver Corp. (XNYS:PAAS)</v>
    <v>4436070</v>
    <v>4798963</v>
    <v>1979</v>
  </rv>
  <rv s="2">
    <v>55</v>
  </rv>
  <rv s="0">
    <v>https://www.bing.com/financeapi/forcetrigger?t=ab1ic7&amp;q=XTSE%3aTRI&amp;form=skydnc</v>
    <v>Learn more on Bing</v>
  </rv>
  <rv s="5">
    <v>en-CA</v>
    <v>ab1ic7</v>
    <v>268435456</v>
    <v>1</v>
    <v>Powered by Refinitiv</v>
    <v>11</v>
    <v>THOMSON REUTERS CORPORATION (XTSE:TRI)</v>
    <v>12</v>
    <v>13</v>
    <v>Finance</v>
    <v>14</v>
    <v>299.24</v>
    <v>107.91</v>
    <v>0.1827</v>
    <v>4.0199999999999996</v>
    <v>0</v>
    <v>3.4950000000000002E-2</v>
    <v>0</v>
    <v>CAD</v>
    <v>Thomson Reuters Corporation is a content and technology company. The Legal Professionals segment serves law firms and governments with research and workflow products powered by technologies, including generative artificial intelligence (AI). The Corporates segment serves corporations ranging from small businesses to multinational organizations with a full suite of content-driven products, powered by technologies, including generative AI. The Tax &amp; Accounting Professionals segment serves tax, audit and accounting firms with research and workflow products powered by technologies, including generative AI. The Reuters News segment supplies business, financial and global news and data to media organizations, professionals and news consumers through Reuters News Agency, Reuters.com, Reuters Events, Thomson Reuters products and to financial firms exclusively via LSEG products. The Global Print segment provides legal and tax information and commercial printing services.</v>
    <v>27100</v>
    <v>Toronto Stock Exchange</v>
    <v>XTSE</v>
    <v>XTSE</v>
    <v>19 Duncan Street, ON, M5H 3H1 CA</v>
    <v>119.75</v>
    <v>Professional &amp; Commercial Services</v>
    <v>Stock</v>
    <v>46199.833333333336</v>
    <v>57</v>
    <v>115.84</v>
    <v>51925902720</v>
    <v>THOMSON REUTERS CORPORATION</v>
    <v>THOMSON REUTERS CORPORATION</v>
    <v>116.08</v>
    <v>25.0228</v>
    <v>115.02</v>
    <v>119.04</v>
    <v>119.04</v>
    <v>436205500</v>
    <v>TRI</v>
    <v>THOMSON REUTERS CORPORATION (XTSE:TRI)</v>
    <v>961827</v>
    <v>912590</v>
    <v>2010</v>
  </rv>
  <rv s="2">
    <v>58</v>
  </rv>
  <rv s="0">
    <v>https://www.bing.com/financeapi/forcetrigger?t=a24kar&amp;q=XNAS%3aTSLA&amp;form=skydnc</v>
    <v>Learn more on Bing</v>
  </rv>
  <rv s="5">
    <v>en-CA</v>
    <v>a24kar</v>
    <v>268435456</v>
    <v>1</v>
    <v>Powered by Refinitiv</v>
    <v>11</v>
    <v>TESLA, INC. (XNAS:TSLA)</v>
    <v>12</v>
    <v>15</v>
    <v>Finance</v>
    <v>16</v>
    <v>498.83</v>
    <v>288.77010000000001</v>
    <v>1.8242</v>
    <v>4.59</v>
    <v>-4.8720000000000005E-3</v>
    <v>1.2236E-2</v>
    <v>-1.85</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387.8</v>
    <v>Automobiles &amp; Auto Parts</v>
    <v>Stock</v>
    <v>46199.999970810153</v>
    <v>60</v>
    <v>368.6</v>
    <v>1426085960040</v>
    <v>TESLA, INC.</v>
    <v>TESLA, INC.</v>
    <v>370.15</v>
    <v>347.05239999999998</v>
    <v>375.12</v>
    <v>379.71</v>
    <v>377.86</v>
    <v>3755724000</v>
    <v>TSLA</v>
    <v>TESLA, INC. (XNAS:TSLA)</v>
    <v>53434138</v>
    <v>46002359</v>
    <v>2024</v>
  </rv>
  <rv s="2">
    <v>61</v>
  </rv>
  <rv s="6">
    <v>en-CA</v>
    <v>avylur</v>
    <v>268435456</v>
    <v>1</v>
    <v>Powered by Refinitiv</v>
    <v>18</v>
    <v>USD/CAD</v>
    <v>9</v>
    <v>19</v>
    <v>Finance</v>
    <v>20</v>
    <v>1.4248000000000001</v>
    <v>1.3479000000000001</v>
    <v>-4.0000000000000002E-4</v>
    <v>-2.8170000000000002E-4</v>
    <v>CAD</v>
    <v>USD</v>
    <v>Currency Pair</v>
    <v>46199.874942129631</v>
    <v>US Dollar/Canadian Dollar FX Spot Rate</v>
    <v>1.4198</v>
    <v>1.4194</v>
    <v>USDCAD</v>
    <v>USD/CAD</v>
  </rv>
  <rv s="2">
    <v>63</v>
  </rv>
  <rv s="7">
    <v>en-CA</v>
    <v>bo8l6h</v>
    <v>268435456</v>
    <v>1</v>
    <v>Powered by Refinitiv</v>
    <v>21</v>
    <v>BTC/USD</v>
    <v>9</v>
    <v>22</v>
    <v>Finance</v>
    <v>20</v>
    <v>126223.18</v>
    <v>58075.78</v>
    <v>605.41</v>
    <v>1.0198E-2</v>
    <v>USD</v>
    <v>BTC</v>
    <v>60386.68</v>
    <v>Currency Pair</v>
    <v>46201.212708333333</v>
    <v>59811.77</v>
    <v>Bitcoin/US Dollar FX Spot Rate</v>
    <v>60219.51</v>
    <v>59366.2</v>
    <v>59917.63</v>
    <v>BTCUSD</v>
    <v>BTC/USD</v>
  </rv>
  <rv s="2">
    <v>65</v>
  </rv>
  <rv s="7">
    <v>en-CA</v>
    <v>brjcfr</v>
    <v>268435456</v>
    <v>1</v>
    <v>Powered by Refinitiv</v>
    <v>21</v>
    <v>ETH/USD</v>
    <v>9</v>
    <v>22</v>
    <v>Finance</v>
    <v>20</v>
    <v>4955.1400000000003</v>
    <v>1506.93</v>
    <v>17.61</v>
    <v>1.1302000000000001E-2</v>
    <v>USD</v>
    <v>ETH</v>
    <v>1582.75</v>
    <v>Currency Pair</v>
    <v>46201.212719907409</v>
    <v>1562.73</v>
    <v>Ether/US Dollar FX Spot Rate</v>
    <v>1579.4</v>
    <v>1558.13</v>
    <v>1568.55</v>
    <v>ETHUSD</v>
    <v>ETH/USD</v>
  </rv>
  <rv s="2">
    <v>67</v>
  </rv>
  <rv s="6">
    <v>en-CA</v>
    <v>avyn9c</v>
    <v>268435456</v>
    <v>1</v>
    <v>Powered by Refinitiv</v>
    <v>18</v>
    <v>USD/EUR</v>
    <v>9</v>
    <v>23</v>
    <v>Finance</v>
    <v>20</v>
    <v>0.88300000000000001</v>
    <v>0.82779999999999998</v>
    <v>-1.1999999999999999E-3</v>
    <v>-1.364E-3</v>
    <v>EUR</v>
    <v>USD</v>
    <v>Currency Pair</v>
    <v>46199.874756944446</v>
    <v>US Dollar/Euro FX Cross Rate</v>
    <v>0.87949999999999995</v>
    <v>0.87829999999999997</v>
    <v>USDEUR</v>
    <v>USD/EUR</v>
  </rv>
  <rv s="2">
    <v>69</v>
  </rv>
  <rv s="6">
    <v>en-CA</v>
    <v>avyomw</v>
    <v>268435456</v>
    <v>1</v>
    <v>Powered by Refinitiv</v>
    <v>18</v>
    <v>USD/JPY</v>
    <v>9</v>
    <v>24</v>
    <v>Finance</v>
    <v>20</v>
    <v>161.94</v>
    <v>142.66</v>
    <v>-0.05</v>
    <v>-3.0909999999999998E-4</v>
    <v>JPY</v>
    <v>USD</v>
    <v>Currency Pair</v>
    <v>46199.874930555554</v>
    <v>US Dollar/Japanese Yen FX Spot Rate</v>
    <v>161.78</v>
    <v>161.72999999999999</v>
    <v>USDJPY</v>
    <v>USD/JPY</v>
  </rv>
  <rv s="2">
    <v>71</v>
  </rv>
  <rv s="6">
    <v>en-CA</v>
    <v>avym77</v>
    <v>268435456</v>
    <v>1</v>
    <v>Powered by Refinitiv</v>
    <v>18</v>
    <v>USD/CNY</v>
    <v>9</v>
    <v>25</v>
    <v>Finance</v>
    <v>20</v>
    <v>7.2135999999999996</v>
    <v>6.7549999999999999</v>
    <v>4.0000000000000002E-4</v>
    <v>5.8840000000000006E-5</v>
    <v>CNY</v>
    <v>USD</v>
    <v>Currency Pair</v>
    <v>46199.405578703707</v>
    <v>US Dollar/Chinese Renminbi FX Spot Rate</v>
    <v>6.7976000000000001</v>
    <v>6.798</v>
    <v>USDCNY</v>
    <v>USD/CNY</v>
  </rv>
  <rv s="2">
    <v>73</v>
  </rv>
  <rv s="6">
    <v>en-CA</v>
    <v>avytp2</v>
    <v>268435456</v>
    <v>1</v>
    <v>Powered by Refinitiv</v>
    <v>18</v>
    <v>USD/TRY</v>
    <v>9</v>
    <v>26</v>
    <v>Finance</v>
    <v>20</v>
    <v>46.646099999999997</v>
    <v>39.183700000000002</v>
    <v>0.11</v>
    <v>2.3649999999999999E-3</v>
    <v>TRY</v>
    <v>USD</v>
    <v>Currency Pair</v>
    <v>46199.875</v>
    <v>US Dollar/Turkish Lira FX Spot Rate</v>
    <v>46.504600000000003</v>
    <v>46.614600000000003</v>
    <v>USDTRY</v>
    <v>USD/TRY</v>
  </rv>
  <rv s="2">
    <v>75</v>
  </rv>
  <rv s="6">
    <v>en-CA</v>
    <v>avyo8m</v>
    <v>268435456</v>
    <v>1</v>
    <v>Powered by Refinitiv</v>
    <v>18</v>
    <v>USD/INR</v>
    <v>9</v>
    <v>27</v>
    <v>Finance</v>
    <v>20</v>
    <v>96.96</v>
    <v>85.165000000000006</v>
    <v>-9.4399999999999998E-2</v>
    <v>-1E-3</v>
    <v>INR</v>
    <v>USD</v>
    <v>Currency Pair</v>
    <v>46199.613321759258</v>
    <v>US Dollar/Indian Rupee FX Spot Rate</v>
    <v>94.394999999999996</v>
    <v>94.300600000000003</v>
    <v>USDINR</v>
    <v>USD/INR</v>
  </rv>
  <rv s="2">
    <v>77</v>
  </rv>
  <rv s="6">
    <v>en-CA</v>
    <v>avyspr</v>
    <v>268435456</v>
    <v>1</v>
    <v>Powered by Refinitiv</v>
    <v>18</v>
    <v>USD/SGD</v>
    <v>9</v>
    <v>28</v>
    <v>Finance</v>
    <v>20</v>
    <v>1.3096000000000001</v>
    <v>1.2582</v>
    <v>-2.2000000000000001E-3</v>
    <v>-1.6980000000000001E-3</v>
    <v>SGD</v>
    <v>USD</v>
    <v>Currency Pair</v>
    <v>46199.875</v>
    <v>US Dollar/Singapore Dollar FX Spot Rate</v>
    <v>1.2952999999999999</v>
    <v>1.2930999999999999</v>
    <v>USDSGD</v>
    <v>USD/SGD</v>
  </rv>
  <rv s="2">
    <v>79</v>
  </rv>
  <rv s="6">
    <v>en-CA</v>
    <v>avytar</v>
    <v>268435456</v>
    <v>1</v>
    <v>Powered by Refinitiv</v>
    <v>18</v>
    <v>USD/TWD</v>
    <v>9</v>
    <v>29</v>
    <v>Finance</v>
    <v>20</v>
    <v>32.185000000000002</v>
    <v>28.734000000000002</v>
    <v>4.8000000000000001E-2</v>
    <v>1.5100000000000001E-3</v>
    <v>TWD</v>
    <v>USD</v>
    <v>Currency Pair</v>
    <v>46199.875</v>
    <v>US Dollar/Taiwan Dollar FX Spot Rate</v>
    <v>31.797000000000001</v>
    <v>31.844999999999999</v>
    <v>USDTWD</v>
    <v>USD/TWD</v>
  </rv>
  <rv s="2">
    <v>81</v>
  </rv>
  <rv s="0">
    <v>https://www.bing.com/financeapi/forcetrigger?t=auvwoc&amp;q=Gold&amp;form=skydnc</v>
    <v>Learn more on Bing</v>
  </rv>
  <rv s="8">
    <v>en-CA</v>
    <v>auvwoc</v>
    <v>268435456</v>
    <v>1</v>
    <v>Powered by Refinitiv</v>
    <v>30</v>
    <v>Gold</v>
    <v>2</v>
    <v>31</v>
    <v>Finance</v>
    <v>Metal</v>
    <v>55.4</v>
    <v>1.3687E-2</v>
    <v>US</v>
    <v>USD</v>
    <v>43830</v>
    <v>Future</v>
    <v>46199.92728009259</v>
    <v>83</v>
    <v>12</v>
    <v>Gold</v>
    <v>4103</v>
    <v>@GC0Y</v>
    <v>OZS</v>
    <v>Gold</v>
    <v>2019</v>
  </rv>
  <rv s="2">
    <v>84</v>
  </rv>
  <rv s="0">
    <v>https://www.bing.com/financeapi/forcetrigger?t=auvwr7&amp;q=Silver&amp;form=skydnc</v>
    <v>Learn more on Bing</v>
  </rv>
  <rv s="8">
    <v>en-CA</v>
    <v>auvwr7</v>
    <v>268435456</v>
    <v>1</v>
    <v>Powered by Refinitiv</v>
    <v>30</v>
    <v>Silver</v>
    <v>2</v>
    <v>31</v>
    <v>Finance</v>
    <v>Metal</v>
    <v>0.79900000000000004</v>
    <v>1.3691E-2</v>
    <v>US</v>
    <v>USD</v>
    <v>43830</v>
    <v>Future</v>
    <v>46199.92728009259</v>
    <v>86</v>
    <v>12</v>
    <v>Silver</v>
    <v>59.16</v>
    <v>@SI0Y</v>
    <v>OZS</v>
    <v>Silver</v>
    <v>2019</v>
  </rv>
  <rv s="2">
    <v>87</v>
  </rv>
  <rv s="0">
    <v>https://www.bing.com/financeapi/forcetrigger?t=auvwu2&amp;q=Platinum&amp;form=skydnc</v>
    <v>Learn more on Bing</v>
  </rv>
  <rv s="8">
    <v>en-CA</v>
    <v>auvwu2</v>
    <v>268435456</v>
    <v>1</v>
    <v>Powered by Refinitiv</v>
    <v>30</v>
    <v>Platinum</v>
    <v>2</v>
    <v>31</v>
    <v>Finance</v>
    <v>Metal</v>
    <v>10.3</v>
    <v>6.3629999999999997E-3</v>
    <v>US</v>
    <v>USD</v>
    <v>43861</v>
    <v>Future</v>
    <v>46199.927291666667</v>
    <v>89</v>
    <v>1</v>
    <v>Platinum</v>
    <v>1629.1</v>
    <v>@PL0Y</v>
    <v>OZS</v>
    <v>Platinum</v>
    <v>2020</v>
  </rv>
  <rv s="2">
    <v>90</v>
  </rv>
  <rv s="0">
    <v>https://www.bing.com/financeapi/forcetrigger?t=auvx6h&amp;q=Natural+Gas&amp;form=skydnc</v>
    <v>Learn more on Bing</v>
  </rv>
  <rv s="8">
    <v>en-CA</v>
    <v>auvx6h</v>
    <v>268435456</v>
    <v>1</v>
    <v>Powered by Refinitiv</v>
    <v>30</v>
    <v>Natural Gas</v>
    <v>2</v>
    <v>31</v>
    <v>Finance</v>
    <v>Energy</v>
    <v>-8.0000000000000002E-3</v>
    <v>-2.428E-3</v>
    <v>US</v>
    <v>USD</v>
    <v>43799</v>
    <v>Future</v>
    <v>46199.927291666667</v>
    <v>92</v>
    <v>11</v>
    <v>Natural Gas</v>
    <v>3.2869999999999999</v>
    <v>@NG0Y</v>
    <v>MMBTU</v>
    <v>Natural Gas</v>
    <v>2019</v>
  </rv>
  <rv s="2">
    <v>93</v>
  </rv>
  <rv s="9">
    <v>2</v>
    <v>11</v>
  </rv>
  <rv s="10">
    <v>32</v>
    <v>avytar</v>
    <v>Daily</v>
    <v>44736</v>
    <v>44736</v>
    <v>0</v>
    <v>1</v>
    <v>637916256000000000,639182196752118196,0</v>
    <v>0</v>
    <v>avytar</v>
    <v>USDTWD</v>
    <v>1</v>
  </rv>
  <rv s="10">
    <v>32</v>
    <v>avytar</v>
    <v>Daily</v>
    <v>45469</v>
    <v>45469</v>
    <v>0</v>
    <v>1</v>
    <v>638549568000000000,639182196752132671,0</v>
    <v>0</v>
    <v>avytar</v>
    <v>USDTWD</v>
    <v>2</v>
  </rv>
  <rv s="10">
    <v>32</v>
    <v>avytar</v>
    <v>Daily</v>
    <v>46107</v>
    <v>46107</v>
    <v>0</v>
    <v>1</v>
    <v>639100800000000000,639182196752118196,0</v>
    <v>0</v>
    <v>avytar</v>
    <v>USDTWD</v>
    <v>3</v>
  </rv>
  <rv s="10">
    <v>32</v>
    <v>avytar</v>
    <v>Daily</v>
    <v>46168</v>
    <v>46168</v>
    <v>0</v>
    <v>1</v>
    <v>639153504000000000,639182196752347189,0</v>
    <v>0</v>
    <v>avytar</v>
    <v>USDTWD</v>
    <v>4</v>
  </rv>
  <rv s="10">
    <v>32</v>
    <v>avytar</v>
    <v>Daily</v>
    <v>45652</v>
    <v>45652</v>
    <v>0</v>
    <v>1</v>
    <v>638707680000000000,639182196752436805,0</v>
    <v>0</v>
    <v>avytar</v>
    <v>USDTWD</v>
    <v>5</v>
  </rv>
  <rv s="10">
    <v>32</v>
    <v>avytar</v>
    <v>Daily</v>
    <v>46195</v>
    <v>46195</v>
    <v>0</v>
    <v>1</v>
    <v>639176832000000000,639182196756173903,0</v>
    <v>0</v>
    <v>avytar</v>
    <v>USDTWD</v>
    <v>6</v>
  </rv>
  <rv s="10">
    <v>32</v>
    <v>avytar</v>
    <v>Daily</v>
    <v>45103</v>
    <v>45103</v>
    <v>0</v>
    <v>1</v>
    <v>638233344000000000,639182196756184934,0</v>
    <v>0</v>
    <v>avytar</v>
    <v>USDTWD</v>
    <v>7</v>
  </rv>
  <rv s="10">
    <v>32</v>
    <v>avytar</v>
    <v>Daily</v>
    <v>45834</v>
    <v>45834</v>
    <v>0</v>
    <v>1</v>
    <v>638864928000000000,639182196755204634,0</v>
    <v>0</v>
    <v>avytar</v>
    <v>USDTWD</v>
    <v>8</v>
  </rv>
  <rv s="10">
    <v>33</v>
    <v>avym77</v>
    <v>Daily</v>
    <v>45652</v>
    <v>45652</v>
    <v>0</v>
    <v>1</v>
    <v>638707680000000000,639182196752371623,0</v>
    <v>0</v>
    <v>avym77</v>
    <v>USDCNY</v>
    <v>9</v>
  </rv>
  <rv s="10">
    <v>33</v>
    <v>avym77</v>
    <v>Daily</v>
    <v>45469</v>
    <v>45469</v>
    <v>0</v>
    <v>1</v>
    <v>638549568000000000,639182196750993139,0</v>
    <v>0</v>
    <v>avym77</v>
    <v>USDCNY</v>
    <v>10</v>
  </rv>
  <rv s="10">
    <v>33</v>
    <v>avym77</v>
    <v>Daily</v>
    <v>45834</v>
    <v>45834</v>
    <v>0</v>
    <v>1</v>
    <v>638864928000000000,639182196752201358,0</v>
    <v>0</v>
    <v>avym77</v>
    <v>USDCNY</v>
    <v>11</v>
  </rv>
  <rv s="10">
    <v>33</v>
    <v>avym77</v>
    <v>Daily</v>
    <v>46168</v>
    <v>46168</v>
    <v>0</v>
    <v>1</v>
    <v>639153504000000000,639182196753158184,0</v>
    <v>0</v>
    <v>avym77</v>
    <v>USDCNY</v>
    <v>12</v>
  </rv>
  <rv s="10">
    <v>33</v>
    <v>avym77</v>
    <v>Daily</v>
    <v>45103</v>
    <v>45103</v>
    <v>0</v>
    <v>1</v>
    <v>638233344000000000,639182196750986693,0</v>
    <v>0</v>
    <v>avym77</v>
    <v>USDCNY</v>
    <v>13</v>
  </rv>
  <rv s="10">
    <v>33</v>
    <v>avym77</v>
    <v>Daily</v>
    <v>46195</v>
    <v>46195</v>
    <v>0</v>
    <v>1</v>
    <v>639176832000000000,639182196751978804,0</v>
    <v>0</v>
    <v>avym77</v>
    <v>USDCNY</v>
    <v>14</v>
  </rv>
  <rv s="10">
    <v>33</v>
    <v>avym77</v>
    <v>Daily</v>
    <v>46107</v>
    <v>46107</v>
    <v>0</v>
    <v>1</v>
    <v>639100800000000000,639182196756402900,0</v>
    <v>0</v>
    <v>avym77</v>
    <v>USDCNY</v>
    <v>15</v>
  </rv>
  <rv s="10">
    <v>33</v>
    <v>avym77</v>
    <v>Daily</v>
    <v>44736</v>
    <v>44736</v>
    <v>0</v>
    <v>1</v>
    <v>637916256000000000,639182196756403973,0</v>
    <v>0</v>
    <v>avym77</v>
    <v>USDCNY</v>
    <v>16</v>
  </rv>
  <rv s="10">
    <v>34</v>
    <v>avyn9c</v>
    <v>Daily</v>
    <v>46107</v>
    <v>46107</v>
    <v>0</v>
    <v>1</v>
    <v>639100800000000000,639182196752614852,0</v>
    <v>0</v>
    <v>avyn9c</v>
    <v>USDEUR</v>
    <v>17</v>
  </rv>
  <rv s="10">
    <v>34</v>
    <v>avyn9c</v>
    <v>Daily</v>
    <v>45834</v>
    <v>45834</v>
    <v>0</v>
    <v>1</v>
    <v>638864928000000000,639182196752943411,0</v>
    <v>0</v>
    <v>avyn9c</v>
    <v>USDEUR</v>
    <v>18</v>
  </rv>
  <rv s="10">
    <v>34</v>
    <v>avyn9c</v>
    <v>Daily</v>
    <v>46168</v>
    <v>46168</v>
    <v>0</v>
    <v>1</v>
    <v>639153504000000000,639182196753182363,0</v>
    <v>0</v>
    <v>avyn9c</v>
    <v>USDEUR</v>
    <v>19</v>
  </rv>
  <rv s="10">
    <v>34</v>
    <v>avyn9c</v>
    <v>Daily</v>
    <v>46195</v>
    <v>46195</v>
    <v>0</v>
    <v>1</v>
    <v>639176832000000000,639182196750982012,0</v>
    <v>0</v>
    <v>avyn9c</v>
    <v>USDEUR</v>
    <v>20</v>
  </rv>
  <rv s="10">
    <v>34</v>
    <v>avyn9c</v>
    <v>Daily</v>
    <v>44736</v>
    <v>44736</v>
    <v>0</v>
    <v>1</v>
    <v>637916256000000000,639182196755382706,0</v>
    <v>0</v>
    <v>avyn9c</v>
    <v>USDEUR</v>
    <v>21</v>
  </rv>
  <rv s="10">
    <v>34</v>
    <v>avyn9c</v>
    <v>Daily</v>
    <v>45469</v>
    <v>45469</v>
    <v>0</v>
    <v>1</v>
    <v>638549568000000000,639182196755774066,0</v>
    <v>0</v>
    <v>avyn9c</v>
    <v>USDEUR</v>
    <v>22</v>
  </rv>
  <rv s="10">
    <v>34</v>
    <v>avyn9c</v>
    <v>Daily</v>
    <v>45103</v>
    <v>45103</v>
    <v>0</v>
    <v>1</v>
    <v>638233344000000000,639182196756074589,0</v>
    <v>0</v>
    <v>avyn9c</v>
    <v>USDEUR</v>
    <v>23</v>
  </rv>
  <rv s="10">
    <v>34</v>
    <v>avyn9c</v>
    <v>Daily</v>
    <v>45652</v>
    <v>45652</v>
    <v>0</v>
    <v>1</v>
    <v>638707680000000000,639182196756557559,0</v>
    <v>0</v>
    <v>avyn9c</v>
    <v>USDEUR</v>
    <v>24</v>
  </rv>
  <rv s="10">
    <v>35</v>
    <v>a24b5r</v>
    <v>Daily</v>
    <v>45834</v>
    <v>45834</v>
    <v>0</v>
    <v>1</v>
    <v>638864928000000000,639182196753584965,0</v>
    <v>0</v>
    <v>a24b5r</v>
    <v>XNAS:TLT</v>
    <v>25</v>
  </rv>
  <rv s="10">
    <v>35</v>
    <v>a24b5r</v>
    <v>Daily</v>
    <v>46195</v>
    <v>46195</v>
    <v>0</v>
    <v>1</v>
    <v>639176832000000000,639182196752482047,0</v>
    <v>0</v>
    <v>a24b5r</v>
    <v>XNAS:TLT</v>
    <v>26</v>
  </rv>
  <rv s="10">
    <v>35</v>
    <v>a24b5r</v>
    <v>Daily</v>
    <v>46107</v>
    <v>46107</v>
    <v>0</v>
    <v>1</v>
    <v>639100800000000000,639182196755110422,0</v>
    <v>0</v>
    <v>a24b5r</v>
    <v>XNAS:TLT</v>
    <v>27</v>
  </rv>
  <rv s="10">
    <v>35</v>
    <v>a24b5r</v>
    <v>Daily</v>
    <v>46168</v>
    <v>46168</v>
    <v>0</v>
    <v>1</v>
    <v>639153504000000000,639182196755160275,0</v>
    <v>0</v>
    <v>a24b5r</v>
    <v>XNAS:TLT</v>
    <v>28</v>
  </rv>
  <rv s="10">
    <v>36</v>
    <v>avyspr</v>
    <v>Daily</v>
    <v>45834</v>
    <v>45834</v>
    <v>0</v>
    <v>1</v>
    <v>638864928000000000,639182196751882756,0</v>
    <v>0</v>
    <v>avyspr</v>
    <v>USDSGD</v>
    <v>29</v>
  </rv>
  <rv s="10">
    <v>36</v>
    <v>avyspr</v>
    <v>Daily</v>
    <v>46107</v>
    <v>46107</v>
    <v>0</v>
    <v>1</v>
    <v>639100800000000000,639182196751235766,0</v>
    <v>0</v>
    <v>avyspr</v>
    <v>USDSGD</v>
    <v>30</v>
  </rv>
  <rv s="10">
    <v>36</v>
    <v>avyspr</v>
    <v>Daily</v>
    <v>45469</v>
    <v>45469</v>
    <v>0</v>
    <v>1</v>
    <v>638549568000000000,639182196752941876,0</v>
    <v>0</v>
    <v>avyspr</v>
    <v>USDSGD</v>
    <v>31</v>
  </rv>
  <rv s="10">
    <v>36</v>
    <v>avyspr</v>
    <v>Daily</v>
    <v>45652</v>
    <v>45652</v>
    <v>0</v>
    <v>1</v>
    <v>638707680000000000,639182196755626326,0</v>
    <v>0</v>
    <v>avyspr</v>
    <v>USDSGD</v>
    <v>32</v>
  </rv>
  <rv s="10">
    <v>36</v>
    <v>avyspr</v>
    <v>Daily</v>
    <v>46168</v>
    <v>46168</v>
    <v>0</v>
    <v>1</v>
    <v>639153504000000000,639182196754385535,0</v>
    <v>0</v>
    <v>avyspr</v>
    <v>USDSGD</v>
    <v>33</v>
  </rv>
  <rv s="10">
    <v>36</v>
    <v>avyspr</v>
    <v>Daily</v>
    <v>45103</v>
    <v>45103</v>
    <v>0</v>
    <v>1</v>
    <v>638233344000000000,639182196756336973,0</v>
    <v>0</v>
    <v>avyspr</v>
    <v>USDSGD</v>
    <v>34</v>
  </rv>
  <rv s="10">
    <v>36</v>
    <v>avyspr</v>
    <v>Daily</v>
    <v>44736</v>
    <v>44736</v>
    <v>0</v>
    <v>1</v>
    <v>637916256000000000,639182196754415403,0</v>
    <v>0</v>
    <v>avyspr</v>
    <v>USDSGD</v>
    <v>35</v>
  </rv>
  <rv s="10">
    <v>36</v>
    <v>avyspr</v>
    <v>Daily</v>
    <v>46195</v>
    <v>46195</v>
    <v>0</v>
    <v>1</v>
    <v>639176832000000000,639182196755012785,0</v>
    <v>0</v>
    <v>avyspr</v>
    <v>USDSGD</v>
    <v>36</v>
  </rv>
  <rv s="10">
    <v>35</v>
    <v>a1zfec</v>
    <v>Daily</v>
    <v>45834</v>
    <v>45834</v>
    <v>0</v>
    <v>1</v>
    <v>638864928000000000,639182196751243699,0</v>
    <v>0</v>
    <v>a1zfec</v>
    <v>XNYS:PAAS</v>
    <v>37</v>
  </rv>
  <rv s="10">
    <v>35</v>
    <v>a1zfec</v>
    <v>Daily</v>
    <v>46107</v>
    <v>46107</v>
    <v>0</v>
    <v>1</v>
    <v>639100800000000000,639182196751732456,0</v>
    <v>0</v>
    <v>a1zfec</v>
    <v>XNYS:PAAS</v>
    <v>38</v>
  </rv>
  <rv s="10">
    <v>35</v>
    <v>a1zfec</v>
    <v>Daily</v>
    <v>46195</v>
    <v>46195</v>
    <v>0</v>
    <v>1</v>
    <v>639176832000000000,639182196752454693,0</v>
    <v>0</v>
    <v>a1zfec</v>
    <v>XNYS:PAAS</v>
    <v>39</v>
  </rv>
  <rv s="10">
    <v>35</v>
    <v>a1zfec</v>
    <v>Daily</v>
    <v>46168</v>
    <v>46168</v>
    <v>0</v>
    <v>1</v>
    <v>639153504000000000,639182196752698219,0</v>
    <v>0</v>
    <v>a1zfec</v>
    <v>XNYS:PAAS</v>
    <v>40</v>
  </rv>
  <rv s="10">
    <v>37</v>
    <v>ab1ic7</v>
    <v>Daily</v>
    <v>46107</v>
    <v>46107</v>
    <v>0</v>
    <v>1</v>
    <v>639100800000000000,639182196751003098,0</v>
    <v>0</v>
    <v>ab1ic7</v>
    <v>XTSE:TRI</v>
    <v>41</v>
  </rv>
  <rv s="10">
    <v>37</v>
    <v>ab1ic7</v>
    <v>Daily</v>
    <v>45834</v>
    <v>45834</v>
    <v>0</v>
    <v>1</v>
    <v>638864928000000000,639182196752869447,0</v>
    <v>0</v>
    <v>ab1ic7</v>
    <v>XTSE:TRI</v>
    <v>42</v>
  </rv>
  <rv s="10">
    <v>37</v>
    <v>ab1ic7</v>
    <v>Daily</v>
    <v>46195</v>
    <v>46195</v>
    <v>0</v>
    <v>1</v>
    <v>639176832000000000,639182196753097422,0</v>
    <v>0</v>
    <v>ab1ic7</v>
    <v>XTSE:TRI</v>
    <v>43</v>
  </rv>
  <rv s="10">
    <v>37</v>
    <v>ab1ic7</v>
    <v>Daily</v>
    <v>46168</v>
    <v>46168</v>
    <v>0</v>
    <v>1</v>
    <v>639153504000000000,639182196754910523,0</v>
    <v>0</v>
    <v>ab1ic7</v>
    <v>XTSE:TRI</v>
    <v>44</v>
  </rv>
  <rv s="10">
    <v>35</v>
    <v>a233ur</v>
    <v>Daily</v>
    <v>46168</v>
    <v>46168</v>
    <v>0</v>
    <v>1</v>
    <v>639153504000000000,639182196751254548,0</v>
    <v>0</v>
    <v>a233ur</v>
    <v>ARCX:SLV</v>
    <v>45</v>
  </rv>
  <rv s="10">
    <v>35</v>
    <v>a233ur</v>
    <v>Daily</v>
    <v>46107</v>
    <v>46107</v>
    <v>0</v>
    <v>1</v>
    <v>639100800000000000,639182196753579759,0</v>
    <v>0</v>
    <v>a233ur</v>
    <v>ARCX:SLV</v>
    <v>46</v>
  </rv>
  <rv s="10">
    <v>35</v>
    <v>a233ur</v>
    <v>Daily</v>
    <v>46195</v>
    <v>46195</v>
    <v>0</v>
    <v>1</v>
    <v>639176832000000000,639182196751001055,0</v>
    <v>0</v>
    <v>a233ur</v>
    <v>ARCX:SLV</v>
    <v>47</v>
  </rv>
  <rv s="10">
    <v>35</v>
    <v>a233ur</v>
    <v>Daily</v>
    <v>45834</v>
    <v>45834</v>
    <v>0</v>
    <v>1</v>
    <v>638864928000000000,639182196751488920,0</v>
    <v>0</v>
    <v>a233ur</v>
    <v>ARCX:SLV</v>
    <v>48</v>
  </rv>
  <rv s="10">
    <v>35</v>
    <v>a1qlz2</v>
    <v>Daily</v>
    <v>45834</v>
    <v>45834</v>
    <v>0</v>
    <v>1</v>
    <v>638864928000000000,639182196753106418,0</v>
    <v>0</v>
    <v>a1qlz2</v>
    <v>XNYS:CVX</v>
    <v>49</v>
  </rv>
  <rv s="10">
    <v>35</v>
    <v>a1qlz2</v>
    <v>Daily</v>
    <v>46195</v>
    <v>46195</v>
    <v>0</v>
    <v>1</v>
    <v>639176832000000000,639182196755057849,0</v>
    <v>0</v>
    <v>a1qlz2</v>
    <v>XNYS:CVX</v>
    <v>50</v>
  </rv>
  <rv s="10">
    <v>35</v>
    <v>a1qlz2</v>
    <v>Daily</v>
    <v>46107</v>
    <v>46107</v>
    <v>0</v>
    <v>1</v>
    <v>639100800000000000,639182196756636379,0</v>
    <v>0</v>
    <v>a1qlz2</v>
    <v>XNYS:CVX</v>
    <v>51</v>
  </rv>
  <rv s="10">
    <v>35</v>
    <v>a1qlz2</v>
    <v>Daily</v>
    <v>46168</v>
    <v>46168</v>
    <v>0</v>
    <v>1</v>
    <v>639153504000000000,639182196756317768,0</v>
    <v>0</v>
    <v>a1qlz2</v>
    <v>XNYS:CVX</v>
    <v>52</v>
  </rv>
  <rv s="10">
    <v>35</v>
    <v>a1u3p2</v>
    <v>Daily</v>
    <v>45834</v>
    <v>45834</v>
    <v>0</v>
    <v>1</v>
    <v>638864928000000000,639182196752847972,0</v>
    <v>0</v>
    <v>a1u3p2</v>
    <v>XNAS:GOOG</v>
    <v>53</v>
  </rv>
  <rv s="10">
    <v>35</v>
    <v>a1u3p2</v>
    <v>Daily</v>
    <v>46195</v>
    <v>46195</v>
    <v>0</v>
    <v>1</v>
    <v>639176832000000000,639182196754152171,0</v>
    <v>0</v>
    <v>a1u3p2</v>
    <v>XNAS:GOOG</v>
    <v>54</v>
  </rv>
  <rv s="10">
    <v>35</v>
    <v>a1u3p2</v>
    <v>Daily</v>
    <v>46107</v>
    <v>46107</v>
    <v>0</v>
    <v>1</v>
    <v>639100800000000000,639182196754898910,0</v>
    <v>0</v>
    <v>a1u3p2</v>
    <v>XNAS:GOOG</v>
    <v>55</v>
  </rv>
  <rv s="10">
    <v>35</v>
    <v>a1u3p2</v>
    <v>Daily</v>
    <v>46168</v>
    <v>46168</v>
    <v>0</v>
    <v>1</v>
    <v>639153504000000000,639182196755390774,0</v>
    <v>0</v>
    <v>a1u3p2</v>
    <v>XNAS:GOOG</v>
    <v>56</v>
  </rv>
  <rv s="10">
    <v>35</v>
    <v>cfzfpr</v>
    <v>Daily</v>
    <v>45834</v>
    <v>45834</v>
    <v>0</v>
    <v>1</v>
    <v>638864928000000000,639182196751234640,0</v>
    <v>0</v>
    <v>cfzfpr</v>
    <v>XNAS:GBUG</v>
    <v>57</v>
  </rv>
  <rv s="10">
    <v>35</v>
    <v>cfzfpr</v>
    <v>Daily</v>
    <v>46195</v>
    <v>46195</v>
    <v>0</v>
    <v>1</v>
    <v>639176832000000000,639182196755346577,0</v>
    <v>0</v>
    <v>cfzfpr</v>
    <v>XNAS:GBUG</v>
    <v>58</v>
  </rv>
  <rv s="10">
    <v>35</v>
    <v>cfzfpr</v>
    <v>Daily</v>
    <v>46107</v>
    <v>46107</v>
    <v>0</v>
    <v>1</v>
    <v>639100800000000000,639182196754426058,0</v>
    <v>0</v>
    <v>cfzfpr</v>
    <v>XNAS:GBUG</v>
    <v>59</v>
  </rv>
  <rv s="10">
    <v>35</v>
    <v>cfzfpr</v>
    <v>Daily</v>
    <v>46168</v>
    <v>46168</v>
    <v>0</v>
    <v>1</v>
    <v>639153504000000000,639182196754918456,0</v>
    <v>0</v>
    <v>cfzfpr</v>
    <v>XNAS:GBUG</v>
    <v>60</v>
  </rv>
  <rv s="10">
    <v>35</v>
    <v>a1sp52</v>
    <v>Daily</v>
    <v>46195</v>
    <v>46195</v>
    <v>0</v>
    <v>1</v>
    <v>639176832000000000,639182196751712427,0</v>
    <v>0</v>
    <v>a1sp52</v>
    <v>XNYS:FCX</v>
    <v>61</v>
  </rv>
  <rv s="10">
    <v>35</v>
    <v>a1sp52</v>
    <v>Daily</v>
    <v>46168</v>
    <v>46168</v>
    <v>0</v>
    <v>1</v>
    <v>639153504000000000,639182196754668833,0</v>
    <v>0</v>
    <v>a1sp52</v>
    <v>XNYS:FCX</v>
    <v>62</v>
  </rv>
  <rv s="10">
    <v>35</v>
    <v>a1sp52</v>
    <v>Daily</v>
    <v>46107</v>
    <v>46107</v>
    <v>0</v>
    <v>1</v>
    <v>639100800000000000,639182196754315596,0</v>
    <v>0</v>
    <v>a1sp52</v>
    <v>XNYS:FCX</v>
    <v>63</v>
  </rv>
  <rv s="10">
    <v>35</v>
    <v>a1sp52</v>
    <v>Daily</v>
    <v>45834</v>
    <v>45834</v>
    <v>0</v>
    <v>1</v>
    <v>638864928000000000,639182196755141975,0</v>
    <v>0</v>
    <v>a1sp52</v>
    <v>XNYS:FCX</v>
    <v>64</v>
  </rv>
  <rv s="10">
    <v>35</v>
    <v>a1yv52</v>
    <v>Daily</v>
    <v>45834</v>
    <v>45834</v>
    <v>0</v>
    <v>1</v>
    <v>638864928000000000,639182196750996309,0</v>
    <v>0</v>
    <v>a1yv52</v>
    <v>XNAS:NVDA</v>
    <v>65</v>
  </rv>
  <rv s="10">
    <v>35</v>
    <v>a1yv52</v>
    <v>Daily</v>
    <v>46195</v>
    <v>46195</v>
    <v>0</v>
    <v>1</v>
    <v>639176832000000000,639182196755360478,0</v>
    <v>0</v>
    <v>a1yv52</v>
    <v>XNAS:NVDA</v>
    <v>66</v>
  </rv>
  <rv s="10">
    <v>35</v>
    <v>a1yv52</v>
    <v>Daily</v>
    <v>46107</v>
    <v>46107</v>
    <v>0</v>
    <v>1</v>
    <v>639100800000000000,639182196756093973,0</v>
    <v>0</v>
    <v>a1yv52</v>
    <v>XNAS:NVDA</v>
    <v>67</v>
  </rv>
  <rv s="10">
    <v>35</v>
    <v>a1yv52</v>
    <v>Daily</v>
    <v>46168</v>
    <v>46168</v>
    <v>0</v>
    <v>1</v>
    <v>639153504000000000,639182196756830743,0</v>
    <v>0</v>
    <v>a1yv52</v>
    <v>XNAS:NVDA</v>
    <v>68</v>
  </rv>
  <rv s="10">
    <v>37</v>
    <v>ab1y3m</v>
    <v>Daily</v>
    <v>46195</v>
    <v>46195</v>
    <v>0</v>
    <v>1</v>
    <v>639176832000000000,639182196751497822,0</v>
    <v>0</v>
    <v>ab1y3m</v>
    <v>XTSE:XIU</v>
    <v>69</v>
  </rv>
  <rv s="10">
    <v>37</v>
    <v>ab1y3m</v>
    <v>Daily</v>
    <v>45834</v>
    <v>45834</v>
    <v>0</v>
    <v>1</v>
    <v>638864928000000000,639182196756651279,0</v>
    <v>0</v>
    <v>ab1y3m</v>
    <v>XTSE:XIU</v>
    <v>70</v>
  </rv>
  <rv s="10">
    <v>37</v>
    <v>ab1y3m</v>
    <v>Daily</v>
    <v>46107</v>
    <v>46107</v>
    <v>0</v>
    <v>1</v>
    <v>639100800000000000,639182196756581520,0</v>
    <v>0</v>
    <v>ab1y3m</v>
    <v>XTSE:XIU</v>
    <v>71</v>
  </rv>
  <rv s="10">
    <v>37</v>
    <v>ab1y3m</v>
    <v>Daily</v>
    <v>46168</v>
    <v>46168</v>
    <v>0</v>
    <v>1</v>
    <v>639153504000000000,639182196756790667,0</v>
    <v>0</v>
    <v>ab1y3m</v>
    <v>XTSE:XIU</v>
    <v>72</v>
  </rv>
  <rv s="10">
    <v>35</v>
    <v>a1ndww</v>
    <v>Daily</v>
    <v>46168</v>
    <v>46168</v>
    <v>0</v>
    <v>1</v>
    <v>639153504000000000,639182196753336602,0</v>
    <v>0</v>
    <v>a1ndww</v>
    <v>XNAS:AMD</v>
    <v>73</v>
  </rv>
  <rv s="10">
    <v>35</v>
    <v>a1ndww</v>
    <v>Daily</v>
    <v>46195</v>
    <v>46195</v>
    <v>0</v>
    <v>1</v>
    <v>639176832000000000,639182196751708818,0</v>
    <v>0</v>
    <v>a1ndww</v>
    <v>XNAS:AMD</v>
    <v>74</v>
  </rv>
  <rv s="10">
    <v>35</v>
    <v>a1ndww</v>
    <v>Daily</v>
    <v>45834</v>
    <v>45834</v>
    <v>0</v>
    <v>1</v>
    <v>638864928000000000,639182196753145613,0</v>
    <v>0</v>
    <v>a1ndww</v>
    <v>XNAS:AMD</v>
    <v>75</v>
  </rv>
  <rv s="10">
    <v>35</v>
    <v>a1ndww</v>
    <v>Daily</v>
    <v>46107</v>
    <v>46107</v>
    <v>0</v>
    <v>1</v>
    <v>639100800000000000,639182196755621660,0</v>
    <v>0</v>
    <v>a1ndww</v>
    <v>XNAS:AMD</v>
    <v>76</v>
  </rv>
  <rv s="10">
    <v>38</v>
    <v>avyo8m</v>
    <v>Daily</v>
    <v>45469</v>
    <v>45469</v>
    <v>0</v>
    <v>1</v>
    <v>638549568000000000,639182196751169256,0</v>
    <v>0</v>
    <v>avyo8m</v>
    <v>USDINR</v>
    <v>77</v>
  </rv>
  <rv s="10">
    <v>38</v>
    <v>avyo8m</v>
    <v>Daily</v>
    <v>44736</v>
    <v>44736</v>
    <v>0</v>
    <v>1</v>
    <v>637916256000000000,639182196753329803,0</v>
    <v>0</v>
    <v>avyo8m</v>
    <v>USDINR</v>
    <v>78</v>
  </rv>
  <rv s="10">
    <v>38</v>
    <v>avyo8m</v>
    <v>Daily</v>
    <v>45834</v>
    <v>45834</v>
    <v>0</v>
    <v>1</v>
    <v>638864928000000000,639182196751473992,0</v>
    <v>0</v>
    <v>avyo8m</v>
    <v>USDINR</v>
    <v>79</v>
  </rv>
  <rv s="10">
    <v>38</v>
    <v>avyo8m</v>
    <v>Daily</v>
    <v>45103</v>
    <v>45103</v>
    <v>0</v>
    <v>1</v>
    <v>638233344000000000,639182196750986121,0</v>
    <v>0</v>
    <v>avyo8m</v>
    <v>USDINR</v>
    <v>80</v>
  </rv>
  <rv s="10">
    <v>38</v>
    <v>avyo8m</v>
    <v>Daily</v>
    <v>46168</v>
    <v>46168</v>
    <v>0</v>
    <v>1</v>
    <v>639153504000000000,639182196751716856,0</v>
    <v>0</v>
    <v>avyo8m</v>
    <v>USDINR</v>
    <v>81</v>
  </rv>
  <rv s="10">
    <v>38</v>
    <v>avyo8m</v>
    <v>Daily</v>
    <v>45652</v>
    <v>45652</v>
    <v>0</v>
    <v>1</v>
    <v>638707680000000000,639182196753186427,0</v>
    <v>0</v>
    <v>avyo8m</v>
    <v>USDINR</v>
    <v>82</v>
  </rv>
  <rv s="10">
    <v>38</v>
    <v>avyo8m</v>
    <v>Daily</v>
    <v>46195</v>
    <v>46195</v>
    <v>0</v>
    <v>1</v>
    <v>639176832000000000,639182196751487864,0</v>
    <v>0</v>
    <v>avyo8m</v>
    <v>USDINR</v>
    <v>83</v>
  </rv>
  <rv s="10">
    <v>38</v>
    <v>avyo8m</v>
    <v>Daily</v>
    <v>46107</v>
    <v>46107</v>
    <v>0</v>
    <v>1</v>
    <v>639100800000000000,639182196756306754,0</v>
    <v>0</v>
    <v>avyo8m</v>
    <v>USDINR</v>
    <v>84</v>
  </rv>
  <rv s="10">
    <v>35</v>
    <v>a23hqh</v>
    <v>Daily</v>
    <v>46107</v>
    <v>46107</v>
    <v>0</v>
    <v>1</v>
    <v>639100800000000000,639182196751642123,0</v>
    <v>0</v>
    <v>a23hqh</v>
    <v>ARCX:SPY</v>
    <v>85</v>
  </rv>
  <rv s="10">
    <v>35</v>
    <v>a23hqh</v>
    <v>Daily</v>
    <v>45834</v>
    <v>45834</v>
    <v>0</v>
    <v>1</v>
    <v>638864928000000000,639182196751482827,0</v>
    <v>0</v>
    <v>a23hqh</v>
    <v>ARCX:SPY</v>
    <v>86</v>
  </rv>
  <rv s="10">
    <v>35</v>
    <v>a23hqh</v>
    <v>Daily</v>
    <v>46195</v>
    <v>46195</v>
    <v>0</v>
    <v>1</v>
    <v>639176832000000000,639182196752677581,0</v>
    <v>0</v>
    <v>a23hqh</v>
    <v>ARCX:SPY</v>
    <v>87</v>
  </rv>
  <rv s="10">
    <v>35</v>
    <v>a23hqh</v>
    <v>Daily</v>
    <v>46168</v>
    <v>46168</v>
    <v>0</v>
    <v>1</v>
    <v>639153504000000000,639182196756162276,0</v>
    <v>0</v>
    <v>a23hqh</v>
    <v>ARCX:SPY</v>
    <v>88</v>
  </rv>
  <rv s="10">
    <v>35</v>
    <v>bo8l6h</v>
    <v>Daily</v>
    <v>46195</v>
    <v>46195</v>
    <v>0</v>
    <v>1</v>
    <v>639176832000000000,639182196751464024,0</v>
    <v>0</v>
    <v>bo8l6h</v>
    <v>BTCUSD</v>
    <v>89</v>
  </rv>
  <rv s="10">
    <v>35</v>
    <v>bo8l6h</v>
    <v>Daily</v>
    <v>46168</v>
    <v>46168</v>
    <v>0</v>
    <v>1</v>
    <v>639153504000000000,639182196752439761,0</v>
    <v>0</v>
    <v>bo8l6h</v>
    <v>BTCUSD</v>
    <v>90</v>
  </rv>
  <rv s="10">
    <v>35</v>
    <v>bo8l6h</v>
    <v>Daily</v>
    <v>45103</v>
    <v>45103</v>
    <v>0</v>
    <v>1</v>
    <v>638233344000000000,639182196754411118,0</v>
    <v>0</v>
    <v>bo8l6h</v>
    <v>BTCUSD</v>
    <v>91</v>
  </rv>
  <rv s="10">
    <v>35</v>
    <v>bo8l6h</v>
    <v>Daily</v>
    <v>44736</v>
    <v>44736</v>
    <v>0</v>
    <v>1</v>
    <v>637916256000000000,639182196755685455,0</v>
    <v>0</v>
    <v>bo8l6h</v>
    <v>BTCUSD</v>
    <v>92</v>
  </rv>
  <rv s="10">
    <v>35</v>
    <v>bo8l6h</v>
    <v>Daily</v>
    <v>45469</v>
    <v>45469</v>
    <v>0</v>
    <v>1</v>
    <v>638549568000000000,639182196755924403,0</v>
    <v>0</v>
    <v>bo8l6h</v>
    <v>BTCUSD</v>
    <v>93</v>
  </rv>
  <rv s="10">
    <v>35</v>
    <v>bo8l6h</v>
    <v>Daily</v>
    <v>45834</v>
    <v>45834</v>
    <v>0</v>
    <v>1</v>
    <v>638864928000000000,639182196754401164,0</v>
    <v>0</v>
    <v>bo8l6h</v>
    <v>BTCUSD</v>
    <v>94</v>
  </rv>
  <rv s="10">
    <v>35</v>
    <v>bo8l6h</v>
    <v>Daily</v>
    <v>45652</v>
    <v>45652</v>
    <v>0</v>
    <v>1</v>
    <v>638707680000000000,639182196754650070,0</v>
    <v>0</v>
    <v>bo8l6h</v>
    <v>BTCUSD</v>
    <v>95</v>
  </rv>
  <rv s="10">
    <v>35</v>
    <v>bo8l6h</v>
    <v>Daily</v>
    <v>46107</v>
    <v>46107</v>
    <v>0</v>
    <v>1</v>
    <v>639100800000000000,639182196755201602,0</v>
    <v>0</v>
    <v>bo8l6h</v>
    <v>BTCUSD</v>
    <v>96</v>
  </rv>
  <rv s="10">
    <v>35</v>
    <v>auvwr7</v>
    <v>Daily</v>
    <v>46168</v>
    <v>46168</v>
    <v>0</v>
    <v>1</v>
    <v>639153504000000000,639182196750922276,0</v>
    <v>0</v>
    <v>auvwr7</v>
    <v>Silver</v>
    <v>97</v>
  </rv>
  <rv s="10">
    <v>35</v>
    <v>auvwr7</v>
    <v>Daily</v>
    <v>44736</v>
    <v>44736</v>
    <v>0</v>
    <v>1</v>
    <v>637916256000000000,639182196753092753,0</v>
    <v>0</v>
    <v>auvwr7</v>
    <v>Silver</v>
    <v>98</v>
  </rv>
  <rv s="10">
    <v>35</v>
    <v>auvwr7</v>
    <v>Daily</v>
    <v>45652</v>
    <v>45652</v>
    <v>0</v>
    <v>1</v>
    <v>638707680000000000,639182196751957738,0</v>
    <v>0</v>
    <v>auvwr7</v>
    <v>Silver</v>
    <v>99</v>
  </rv>
  <rv s="10">
    <v>35</v>
    <v>auvwr7</v>
    <v>Daily</v>
    <v>45103</v>
    <v>45103</v>
    <v>0</v>
    <v>1</v>
    <v>638233344000000000,639182196751997561,0</v>
    <v>0</v>
    <v>auvwr7</v>
    <v>Silver</v>
    <v>100</v>
  </rv>
  <rv s="10">
    <v>35</v>
    <v>auvwr7</v>
    <v>Daily</v>
    <v>46107</v>
    <v>46107</v>
    <v>0</v>
    <v>1</v>
    <v>639100800000000000,639182196755293100,0</v>
    <v>0</v>
    <v>auvwr7</v>
    <v>Silver</v>
    <v>101</v>
  </rv>
  <rv s="10">
    <v>35</v>
    <v>auvwr7</v>
    <v>Daily</v>
    <v>45834</v>
    <v>45834</v>
    <v>0</v>
    <v>1</v>
    <v>638864928000000000,639182196756398256,0</v>
    <v>0</v>
    <v>auvwr7</v>
    <v>Silver</v>
    <v>102</v>
  </rv>
  <rv s="10">
    <v>35</v>
    <v>auvwr7</v>
    <v>Daily</v>
    <v>46195</v>
    <v>46195</v>
    <v>0</v>
    <v>1</v>
    <v>639176832000000000,639182196754957651,0</v>
    <v>0</v>
    <v>auvwr7</v>
    <v>Silver</v>
    <v>103</v>
  </rv>
  <rv s="10">
    <v>35</v>
    <v>auvwr7</v>
    <v>Daily</v>
    <v>45469</v>
    <v>45469</v>
    <v>0</v>
    <v>1</v>
    <v>638549568000000000,639182196755288040,0</v>
    <v>0</v>
    <v>auvwr7</v>
    <v>Silver</v>
    <v>104</v>
  </rv>
  <rv s="10">
    <v>39</v>
    <v>avytp2</v>
    <v>Daily</v>
    <v>46168</v>
    <v>46168</v>
    <v>0</v>
    <v>1</v>
    <v>639153504000000000,639182196752595839,0</v>
    <v>0</v>
    <v>avytp2</v>
    <v>USDTRY</v>
    <v>105</v>
  </rv>
  <rv s="10">
    <v>39</v>
    <v>avytp2</v>
    <v>Daily</v>
    <v>45469</v>
    <v>45469</v>
    <v>0</v>
    <v>1</v>
    <v>638549568000000000,639182196752217495,0</v>
    <v>0</v>
    <v>avytp2</v>
    <v>USDTRY</v>
    <v>106</v>
  </rv>
  <rv s="10">
    <v>39</v>
    <v>avytp2</v>
    <v>Daily</v>
    <v>45652</v>
    <v>45652</v>
    <v>0</v>
    <v>1</v>
    <v>638707680000000000,639182196752708318,0</v>
    <v>0</v>
    <v>avytp2</v>
    <v>USDTRY</v>
    <v>107</v>
  </rv>
  <rv s="10">
    <v>39</v>
    <v>avytp2</v>
    <v>Daily</v>
    <v>45103</v>
    <v>45103</v>
    <v>0</v>
    <v>1</v>
    <v>638233344000000000,639182196751241773,0</v>
    <v>0</v>
    <v>avytp2</v>
    <v>USDTRY</v>
    <v>108</v>
  </rv>
  <rv s="10">
    <v>39</v>
    <v>avytp2</v>
    <v>Daily</v>
    <v>45834</v>
    <v>45834</v>
    <v>0</v>
    <v>1</v>
    <v>638864928000000000,639182196756010859,0</v>
    <v>0</v>
    <v>avytp2</v>
    <v>USDTRY</v>
    <v>109</v>
  </rv>
  <rv s="10">
    <v>39</v>
    <v>avytp2</v>
    <v>Daily</v>
    <v>46107</v>
    <v>46107</v>
    <v>0</v>
    <v>1</v>
    <v>639100800000000000,639182196755682299,0</v>
    <v>0</v>
    <v>avytp2</v>
    <v>USDTRY</v>
    <v>110</v>
  </rv>
  <rv s="10">
    <v>39</v>
    <v>avytp2</v>
    <v>Daily</v>
    <v>46195</v>
    <v>46195</v>
    <v>0</v>
    <v>1</v>
    <v>639176832000000000,639182196755861508,0</v>
    <v>0</v>
    <v>avytp2</v>
    <v>USDTRY</v>
    <v>111</v>
  </rv>
  <rv s="10">
    <v>39</v>
    <v>avytp2</v>
    <v>Daily</v>
    <v>44736</v>
    <v>44736</v>
    <v>0</v>
    <v>1</v>
    <v>637916256000000000,639182196756332414,0</v>
    <v>0</v>
    <v>avytp2</v>
    <v>USDTRY</v>
    <v>112</v>
  </rv>
  <rv s="10">
    <v>35</v>
    <v>auvwu2</v>
    <v>Daily</v>
    <v>46107</v>
    <v>46107</v>
    <v>0</v>
    <v>1</v>
    <v>639100800000000000,639182196751234640,0</v>
    <v>0</v>
    <v>auvwu2</v>
    <v>Platinum</v>
    <v>113</v>
  </rv>
  <rv s="10">
    <v>35</v>
    <v>auvwu2</v>
    <v>Daily</v>
    <v>45834</v>
    <v>45834</v>
    <v>0</v>
    <v>1</v>
    <v>638864928000000000,639182196752219408,0</v>
    <v>0</v>
    <v>auvwu2</v>
    <v>Platinum</v>
    <v>114</v>
  </rv>
  <rv s="10">
    <v>35</v>
    <v>auvwu2</v>
    <v>Daily</v>
    <v>45103</v>
    <v>45103</v>
    <v>0</v>
    <v>1</v>
    <v>638233344000000000,639182196754579067,0</v>
    <v>0</v>
    <v>auvwu2</v>
    <v>Platinum</v>
    <v>115</v>
  </rv>
  <rv s="10">
    <v>35</v>
    <v>auvwu2</v>
    <v>Daily</v>
    <v>45469</v>
    <v>45469</v>
    <v>0</v>
    <v>1</v>
    <v>638549568000000000,639182196754560036,0</v>
    <v>0</v>
    <v>auvwu2</v>
    <v>Platinum</v>
    <v>116</v>
  </rv>
  <rv s="10">
    <v>35</v>
    <v>auvwu2</v>
    <v>Daily</v>
    <v>46168</v>
    <v>46168</v>
    <v>0</v>
    <v>1</v>
    <v>639153504000000000,639182196754937484,0</v>
    <v>0</v>
    <v>auvwu2</v>
    <v>Platinum</v>
    <v>117</v>
  </rv>
  <rv s="10">
    <v>35</v>
    <v>auvwu2</v>
    <v>Daily</v>
    <v>46195</v>
    <v>46195</v>
    <v>0</v>
    <v>1</v>
    <v>639176832000000000,639182196754769112,0</v>
    <v>0</v>
    <v>auvwu2</v>
    <v>Platinum</v>
    <v>118</v>
  </rv>
  <rv s="10">
    <v>35</v>
    <v>auvwu2</v>
    <v>Daily</v>
    <v>45652</v>
    <v>45652</v>
    <v>0</v>
    <v>1</v>
    <v>638707680000000000,639182196756088780,0</v>
    <v>0</v>
    <v>auvwu2</v>
    <v>Platinum</v>
    <v>119</v>
  </rv>
  <rv s="10">
    <v>35</v>
    <v>auvwu2</v>
    <v>Daily</v>
    <v>44736</v>
    <v>44736</v>
    <v>0</v>
    <v>1</v>
    <v>637916256000000000,639182196757024677,0</v>
    <v>0</v>
    <v>auvwu2</v>
    <v>Platinum</v>
    <v>120</v>
  </rv>
  <rv s="10">
    <v>35</v>
    <v>a1mou2</v>
    <v>Daily</v>
    <v>46195</v>
    <v>46195</v>
    <v>0</v>
    <v>1</v>
    <v>639176832000000000,639182196752678303,0</v>
    <v>0</v>
    <v>a1mou2</v>
    <v>XNAS:AAPL</v>
    <v>121</v>
  </rv>
  <rv s="10">
    <v>35</v>
    <v>a1mou2</v>
    <v>Daily</v>
    <v>46168</v>
    <v>46168</v>
    <v>0</v>
    <v>1</v>
    <v>639153504000000000,639182196752200390,0</v>
    <v>0</v>
    <v>a1mou2</v>
    <v>XNAS:AAPL</v>
    <v>122</v>
  </rv>
  <rv s="10">
    <v>35</v>
    <v>a1mou2</v>
    <v>Daily</v>
    <v>45834</v>
    <v>45834</v>
    <v>0</v>
    <v>1</v>
    <v>638864928000000000,639182196752708172,0</v>
    <v>0</v>
    <v>a1mou2</v>
    <v>XNAS:AAPL</v>
    <v>123</v>
  </rv>
  <rv s="10">
    <v>35</v>
    <v>a1mou2</v>
    <v>Daily</v>
    <v>46107</v>
    <v>46107</v>
    <v>0</v>
    <v>1</v>
    <v>639100800000000000,639182196751214728,0</v>
    <v>0</v>
    <v>a1mou2</v>
    <v>XNAS:AAPL</v>
    <v>124</v>
  </rv>
  <rv s="10">
    <v>35</v>
    <v>a24kar</v>
    <v>Daily</v>
    <v>46168</v>
    <v>46168</v>
    <v>0</v>
    <v>1</v>
    <v>639153504000000000,639182196752461224,0</v>
    <v>0</v>
    <v>a24kar</v>
    <v>XNAS:TSLA</v>
    <v>125</v>
  </rv>
  <rv s="10">
    <v>35</v>
    <v>a24kar</v>
    <v>Daily</v>
    <v>46107</v>
    <v>46107</v>
    <v>0</v>
    <v>1</v>
    <v>639100800000000000,639182196752207800,0</v>
    <v>0</v>
    <v>a24kar</v>
    <v>XNAS:TSLA</v>
    <v>126</v>
  </rv>
  <rv s="10">
    <v>35</v>
    <v>a24kar</v>
    <v>Daily</v>
    <v>45834</v>
    <v>45834</v>
    <v>0</v>
    <v>1</v>
    <v>638864928000000000,639182196756254642,0</v>
    <v>0</v>
    <v>a24kar</v>
    <v>XNAS:TSLA</v>
    <v>127</v>
  </rv>
  <rv s="10">
    <v>35</v>
    <v>a24kar</v>
    <v>Daily</v>
    <v>46195</v>
    <v>46195</v>
    <v>0</v>
    <v>1</v>
    <v>639176832000000000,639182196754631740,0</v>
    <v>0</v>
    <v>a24kar</v>
    <v>XNAS:TSLA</v>
    <v>128</v>
  </rv>
  <rv s="10">
    <v>35</v>
    <v>a269ec</v>
    <v>Daily</v>
    <v>45834</v>
    <v>45834</v>
    <v>0</v>
    <v>1</v>
    <v>638864928000000000,639182196752233147,0</v>
    <v>0</v>
    <v>a269ec</v>
    <v>XNYS:XOM</v>
    <v>129</v>
  </rv>
  <rv s="10">
    <v>35</v>
    <v>a269ec</v>
    <v>Daily</v>
    <v>46195</v>
    <v>46195</v>
    <v>0</v>
    <v>1</v>
    <v>639176832000000000,639182196756658018,0</v>
    <v>0</v>
    <v>a269ec</v>
    <v>XNYS:XOM</v>
    <v>130</v>
  </rv>
  <rv s="10">
    <v>35</v>
    <v>a269ec</v>
    <v>Daily</v>
    <v>46107</v>
    <v>46107</v>
    <v>0</v>
    <v>1</v>
    <v>639100800000000000,639182196755851556,0</v>
    <v>0</v>
    <v>a269ec</v>
    <v>XNYS:XOM</v>
    <v>131</v>
  </rv>
  <rv s="10">
    <v>35</v>
    <v>a269ec</v>
    <v>Daily</v>
    <v>46168</v>
    <v>46168</v>
    <v>0</v>
    <v>1</v>
    <v>639153504000000000,639182196755635476,0</v>
    <v>0</v>
    <v>a269ec</v>
    <v>XNYS:XOM</v>
    <v>132</v>
  </rv>
  <rv s="10">
    <v>35</v>
    <v>a1upz2</v>
    <v>Daily</v>
    <v>46168</v>
    <v>46168</v>
    <v>0</v>
    <v>1</v>
    <v>639153504000000000,639182196752614852,0</v>
    <v>0</v>
    <v>a1upz2</v>
    <v>XNYS:HL</v>
    <v>133</v>
  </rv>
  <rv s="10">
    <v>35</v>
    <v>a1upz2</v>
    <v>Daily</v>
    <v>46107</v>
    <v>46107</v>
    <v>0</v>
    <v>1</v>
    <v>639100800000000000,639182196751881171,0</v>
    <v>0</v>
    <v>a1upz2</v>
    <v>XNYS:HL</v>
    <v>134</v>
  </rv>
  <rv s="10">
    <v>35</v>
    <v>a1upz2</v>
    <v>Daily</v>
    <v>45834</v>
    <v>45834</v>
    <v>0</v>
    <v>1</v>
    <v>638864928000000000,639182196753167351,0</v>
    <v>0</v>
    <v>a1upz2</v>
    <v>XNYS:HL</v>
    <v>135</v>
  </rv>
  <rv s="10">
    <v>35</v>
    <v>a1upz2</v>
    <v>Daily</v>
    <v>46195</v>
    <v>46195</v>
    <v>0</v>
    <v>1</v>
    <v>639176832000000000,639182196756487858,0</v>
    <v>0</v>
    <v>a1upz2</v>
    <v>XNYS:HL</v>
    <v>136</v>
  </rv>
  <rv s="10">
    <v>37</v>
    <v>aay9k2</v>
    <v>Daily</v>
    <v>45834</v>
    <v>45834</v>
    <v>0</v>
    <v>1</v>
    <v>638864928000000000,639182196751472692,0</v>
    <v>0</v>
    <v>aay9k2</v>
    <v>XTSE:FNV</v>
    <v>137</v>
  </rv>
  <rv s="10">
    <v>37</v>
    <v>aay9k2</v>
    <v>Daily</v>
    <v>46195</v>
    <v>46195</v>
    <v>0</v>
    <v>1</v>
    <v>639176832000000000,639182196756098730,0</v>
    <v>0</v>
    <v>aay9k2</v>
    <v>XTSE:FNV</v>
    <v>138</v>
  </rv>
  <rv s="10">
    <v>37</v>
    <v>aay9k2</v>
    <v>Daily</v>
    <v>46107</v>
    <v>46107</v>
    <v>0</v>
    <v>1</v>
    <v>639100800000000000,639182196756570321,0</v>
    <v>0</v>
    <v>aay9k2</v>
    <v>XTSE:FNV</v>
    <v>139</v>
  </rv>
  <rv s="10">
    <v>37</v>
    <v>aay9k2</v>
    <v>Daily</v>
    <v>46168</v>
    <v>46168</v>
    <v>0</v>
    <v>1</v>
    <v>639153504000000000,639182196754679508,0</v>
    <v>0</v>
    <v>aay9k2</v>
    <v>XTSE:FNV</v>
    <v>140</v>
  </rv>
  <rv s="10">
    <v>37</v>
    <v>aaxdur</v>
    <v>Daily</v>
    <v>45834</v>
    <v>45834</v>
    <v>0</v>
    <v>1</v>
    <v>638864928000000000,639182196754821764,0</v>
    <v>0</v>
    <v>aaxdur</v>
    <v>XTSE:CCO</v>
    <v>141</v>
  </rv>
  <rv s="10">
    <v>37</v>
    <v>aaxdur</v>
    <v>Daily</v>
    <v>46195</v>
    <v>46195</v>
    <v>0</v>
    <v>1</v>
    <v>639176832000000000,639182196754393650,0</v>
    <v>0</v>
    <v>aaxdur</v>
    <v>XTSE:CCO</v>
    <v>142</v>
  </rv>
  <rv s="10">
    <v>37</v>
    <v>aaxdur</v>
    <v>Daily</v>
    <v>46107</v>
    <v>46107</v>
    <v>0</v>
    <v>1</v>
    <v>639100800000000000,639182196756422533,0</v>
    <v>0</v>
    <v>aaxdur</v>
    <v>XTSE:CCO</v>
    <v>143</v>
  </rv>
  <rv s="10">
    <v>37</v>
    <v>aaxdur</v>
    <v>Daily</v>
    <v>46168</v>
    <v>46168</v>
    <v>0</v>
    <v>1</v>
    <v>639153504000000000,639182196756163673,0</v>
    <v>0</v>
    <v>aaxdur</v>
    <v>XTSE:CCO</v>
    <v>144</v>
  </rv>
  <rv s="10">
    <v>35</v>
    <v>auvx6h</v>
    <v>Daily</v>
    <v>45652</v>
    <v>45652</v>
    <v>0</v>
    <v>1</v>
    <v>638707680000000000,639182196752937796,0</v>
    <v>0</v>
    <v>auvx6h</v>
    <v>Natural Gas</v>
    <v>145</v>
  </rv>
  <rv s="10">
    <v>35</v>
    <v>auvx6h</v>
    <v>Daily</v>
    <v>45834</v>
    <v>45834</v>
    <v>0</v>
    <v>1</v>
    <v>638864928000000000,639182196753166793,0</v>
    <v>0</v>
    <v>auvx6h</v>
    <v>Natural Gas</v>
    <v>146</v>
  </rv>
  <rv s="10">
    <v>35</v>
    <v>auvx6h</v>
    <v>Daily</v>
    <v>45469</v>
    <v>45469</v>
    <v>0</v>
    <v>1</v>
    <v>638549568000000000,639182196754333895,0</v>
    <v>0</v>
    <v>auvx6h</v>
    <v>Natural Gas</v>
    <v>147</v>
  </rv>
  <rv s="10">
    <v>35</v>
    <v>auvx6h</v>
    <v>Daily</v>
    <v>45103</v>
    <v>45103</v>
    <v>0</v>
    <v>1</v>
    <v>638233344000000000,639182196755446811,0</v>
    <v>0</v>
    <v>auvx6h</v>
    <v>Natural Gas</v>
    <v>148</v>
  </rv>
  <rv s="10">
    <v>35</v>
    <v>auvx6h</v>
    <v>Daily</v>
    <v>46107</v>
    <v>46107</v>
    <v>0</v>
    <v>1</v>
    <v>639100800000000000,639182196754650296,0</v>
    <v>0</v>
    <v>auvx6h</v>
    <v>Natural Gas</v>
    <v>149</v>
  </rv>
  <rv s="10">
    <v>35</v>
    <v>auvx6h</v>
    <v>Daily</v>
    <v>44736</v>
    <v>44736</v>
    <v>0</v>
    <v>1</v>
    <v>637916256000000000,639182196756641575,0</v>
    <v>0</v>
    <v>auvx6h</v>
    <v>Natural Gas</v>
    <v>150</v>
  </rv>
  <rv s="10">
    <v>35</v>
    <v>brjcfr</v>
    <v>Daily</v>
    <v>45469</v>
    <v>45469</v>
    <v>0</v>
    <v>1</v>
    <v>638549568000000000,639182196751718780,0</v>
    <v>0</v>
    <v>brjcfr</v>
    <v>ETHUSD</v>
    <v>151</v>
  </rv>
  <rv s="10">
    <v>35</v>
    <v>brjcfr</v>
    <v>Daily</v>
    <v>45103</v>
    <v>45103</v>
    <v>0</v>
    <v>1</v>
    <v>638233344000000000,639182196751243972,0</v>
    <v>0</v>
    <v>brjcfr</v>
    <v>ETHUSD</v>
    <v>152</v>
  </rv>
  <rv s="10">
    <v>35</v>
    <v>brjcfr</v>
    <v>Daily</v>
    <v>46195</v>
    <v>46195</v>
    <v>0</v>
    <v>1</v>
    <v>639176832000000000,639182196752201585,0</v>
    <v>0</v>
    <v>brjcfr</v>
    <v>ETHUSD</v>
    <v>153</v>
  </rv>
  <rv s="10">
    <v>35</v>
    <v>brjcfr</v>
    <v>Daily</v>
    <v>46107</v>
    <v>46107</v>
    <v>0</v>
    <v>1</v>
    <v>639100800000000000,639182196751967693,0</v>
    <v>0</v>
    <v>brjcfr</v>
    <v>ETHUSD</v>
    <v>154</v>
  </rv>
  <rv s="10">
    <v>35</v>
    <v>brjcfr</v>
    <v>Daily</v>
    <v>45834</v>
    <v>45834</v>
    <v>0</v>
    <v>1</v>
    <v>638864928000000000,639182196755525157,0</v>
    <v>0</v>
    <v>brjcfr</v>
    <v>ETHUSD</v>
    <v>155</v>
  </rv>
  <rv s="10">
    <v>35</v>
    <v>brjcfr</v>
    <v>Daily</v>
    <v>46168</v>
    <v>46168</v>
    <v>0</v>
    <v>1</v>
    <v>639153504000000000,639182196755581839,0</v>
    <v>0</v>
    <v>brjcfr</v>
    <v>ETHUSD</v>
    <v>156</v>
  </rv>
  <rv s="10">
    <v>35</v>
    <v>brjcfr</v>
    <v>Daily</v>
    <v>44736</v>
    <v>44736</v>
    <v>0</v>
    <v>1</v>
    <v>637916256000000000,639182196755825683,0</v>
    <v>0</v>
    <v>brjcfr</v>
    <v>ETHUSD</v>
    <v>157</v>
  </rv>
  <rv s="10">
    <v>35</v>
    <v>brjcfr</v>
    <v>Daily</v>
    <v>45652</v>
    <v>45652</v>
    <v>0</v>
    <v>1</v>
    <v>638707680000000000,639182196756590478,0</v>
    <v>0</v>
    <v>brjcfr</v>
    <v>ETHUSD</v>
    <v>158</v>
  </rv>
  <rv s="10">
    <v>35</v>
    <v>cc5pdm</v>
    <v>Daily</v>
    <v>46168</v>
    <v>46168</v>
    <v>0</v>
    <v>1</v>
    <v>639153504000000000,639182196752852954,0</v>
    <v>0</v>
    <v>cc5pdm</v>
    <v>XNAS:IBIT</v>
    <v>159</v>
  </rv>
  <rv s="10">
    <v>35</v>
    <v>cc5pdm</v>
    <v>Daily</v>
    <v>46195</v>
    <v>46195</v>
    <v>0</v>
    <v>1</v>
    <v>639176832000000000,639182196752697693,0</v>
    <v>0</v>
    <v>cc5pdm</v>
    <v>XNAS:IBIT</v>
    <v>160</v>
  </rv>
  <rv s="10">
    <v>35</v>
    <v>cc5pdm</v>
    <v>Daily</v>
    <v>45834</v>
    <v>45834</v>
    <v>0</v>
    <v>1</v>
    <v>638864928000000000,639182196755923158,0</v>
    <v>0</v>
    <v>cc5pdm</v>
    <v>XNAS:IBIT</v>
    <v>161</v>
  </rv>
  <rv s="10">
    <v>35</v>
    <v>cc5pdm</v>
    <v>Daily</v>
    <v>46107</v>
    <v>46107</v>
    <v>0</v>
    <v>1</v>
    <v>639100800000000000,639182196755943951,0</v>
    <v>0</v>
    <v>cc5pdm</v>
    <v>XNAS:IBIT</v>
    <v>162</v>
  </rv>
  <rv s="10">
    <v>37</v>
    <v>avylur</v>
    <v>Daily</v>
    <v>45469</v>
    <v>45469</v>
    <v>0</v>
    <v>1</v>
    <v>638549568000000000,639182196751882974,0</v>
    <v>0</v>
    <v>avylur</v>
    <v>USDCAD</v>
    <v>163</v>
  </rv>
  <rv s="10">
    <v>37</v>
    <v>avylur</v>
    <v>Daily</v>
    <v>46168</v>
    <v>46168</v>
    <v>0</v>
    <v>1</v>
    <v>639153504000000000,639182196752913547,0</v>
    <v>0</v>
    <v>avylur</v>
    <v>USDCAD</v>
    <v>164</v>
  </rv>
  <rv s="10">
    <v>37</v>
    <v>avylur</v>
    <v>Daily</v>
    <v>45834</v>
    <v>45834</v>
    <v>0</v>
    <v>1</v>
    <v>638864928000000000,639182196751967693,0</v>
    <v>0</v>
    <v>avylur</v>
    <v>USDCAD</v>
    <v>165</v>
  </rv>
  <rv s="10">
    <v>37</v>
    <v>avylur</v>
    <v>Daily</v>
    <v>44736</v>
    <v>44736</v>
    <v>0</v>
    <v>1</v>
    <v>637916256000000000,639182196751006815,0</v>
    <v>0</v>
    <v>avylur</v>
    <v>USDCAD</v>
    <v>166</v>
  </rv>
  <rv s="10">
    <v>37</v>
    <v>avylur</v>
    <v>Daily</v>
    <v>45652</v>
    <v>45652</v>
    <v>0</v>
    <v>1</v>
    <v>638707680000000000,639182196755123862,0</v>
    <v>0</v>
    <v>avylur</v>
    <v>USDCAD</v>
    <v>167</v>
  </rv>
  <rv s="10">
    <v>37</v>
    <v>avylur</v>
    <v>Daily</v>
    <v>45103</v>
    <v>45103</v>
    <v>0</v>
    <v>1</v>
    <v>638233344000000000,639182196756547602,0</v>
    <v>0</v>
    <v>avylur</v>
    <v>USDCAD</v>
    <v>168</v>
  </rv>
  <rv s="10">
    <v>37</v>
    <v>avylur</v>
    <v>Daily</v>
    <v>46195</v>
    <v>46195</v>
    <v>0</v>
    <v>1</v>
    <v>639176832000000000,639182196755395728,0</v>
    <v>0</v>
    <v>avylur</v>
    <v>USDCAD</v>
    <v>169</v>
  </rv>
  <rv s="10">
    <v>37</v>
    <v>avylur</v>
    <v>Daily</v>
    <v>46107</v>
    <v>46107</v>
    <v>0</v>
    <v>1</v>
    <v>639100800000000000,639182196756122538,0</v>
    <v>0</v>
    <v>avylur</v>
    <v>USDCAD</v>
    <v>170</v>
  </rv>
  <rv s="10">
    <v>37</v>
    <v>ab1tfr</v>
    <v>Daily</v>
    <v>46168</v>
    <v>46168</v>
    <v>0</v>
    <v>1</v>
    <v>639153504000000000,639182196750989496,0</v>
    <v>0</v>
    <v>ab1tfr</v>
    <v>XTSE:WPM</v>
    <v>171</v>
  </rv>
  <rv s="10">
    <v>37</v>
    <v>ab1tfr</v>
    <v>Daily</v>
    <v>46107</v>
    <v>46107</v>
    <v>0</v>
    <v>1</v>
    <v>639100800000000000,639182196751239551,0</v>
    <v>0</v>
    <v>ab1tfr</v>
    <v>XTSE:WPM</v>
    <v>172</v>
  </rv>
  <rv s="10">
    <v>37</v>
    <v>ab1tfr</v>
    <v>Daily</v>
    <v>45834</v>
    <v>45834</v>
    <v>0</v>
    <v>1</v>
    <v>638864928000000000,639182196754799640,0</v>
    <v>0</v>
    <v>ab1tfr</v>
    <v>XTSE:WPM</v>
    <v>173</v>
  </rv>
  <rv s="10">
    <v>37</v>
    <v>ab1tfr</v>
    <v>Daily</v>
    <v>46195</v>
    <v>46195</v>
    <v>0</v>
    <v>1</v>
    <v>639176832000000000,639182196755837293,0</v>
    <v>0</v>
    <v>ab1tfr</v>
    <v>XTSE:WPM</v>
    <v>174</v>
  </rv>
  <rv s="10">
    <v>35</v>
    <v>auvwoc</v>
    <v>Daily</v>
    <v>45834</v>
    <v>45834</v>
    <v>0</v>
    <v>1</v>
    <v>638864928000000000,639182196752690911,0</v>
    <v>0</v>
    <v>auvwoc</v>
    <v>Gold</v>
    <v>175</v>
  </rv>
  <rv s="10">
    <v>35</v>
    <v>auvwoc</v>
    <v>Daily</v>
    <v>46195</v>
    <v>46195</v>
    <v>0</v>
    <v>1</v>
    <v>639176832000000000,639182196751754867,0</v>
    <v>0</v>
    <v>auvwoc</v>
    <v>Gold</v>
    <v>176</v>
  </rv>
  <rv s="10">
    <v>35</v>
    <v>auvwoc</v>
    <v>Daily</v>
    <v>46168</v>
    <v>46168</v>
    <v>0</v>
    <v>1</v>
    <v>639153504000000000,639182196752451810,0</v>
    <v>0</v>
    <v>auvwoc</v>
    <v>Gold</v>
    <v>177</v>
  </rv>
  <rv s="10">
    <v>35</v>
    <v>auvwoc</v>
    <v>Daily</v>
    <v>45469</v>
    <v>45469</v>
    <v>0</v>
    <v>1</v>
    <v>638549568000000000,639182196752919903,0</v>
    <v>0</v>
    <v>auvwoc</v>
    <v>Gold</v>
    <v>178</v>
  </rv>
  <rv s="10">
    <v>35</v>
    <v>auvwoc</v>
    <v>Daily</v>
    <v>45652</v>
    <v>45652</v>
    <v>0</v>
    <v>1</v>
    <v>638707680000000000,639182196755379104,0</v>
    <v>0</v>
    <v>auvwoc</v>
    <v>Gold</v>
    <v>179</v>
  </rv>
  <rv s="10">
    <v>35</v>
    <v>auvwoc</v>
    <v>Daily</v>
    <v>45103</v>
    <v>45103</v>
    <v>0</v>
    <v>1</v>
    <v>638233344000000000,639182196755150111,0</v>
    <v>0</v>
    <v>auvwoc</v>
    <v>Gold</v>
    <v>180</v>
  </rv>
  <rv s="10">
    <v>35</v>
    <v>auvwoc</v>
    <v>Daily</v>
    <v>44736</v>
    <v>44736</v>
    <v>0</v>
    <v>1</v>
    <v>637916256000000000,639182196755935204,0</v>
    <v>0</v>
    <v>auvwoc</v>
    <v>Gold</v>
    <v>181</v>
  </rv>
  <rv s="10">
    <v>35</v>
    <v>auvwoc</v>
    <v>Daily</v>
    <v>46107</v>
    <v>46107</v>
    <v>0</v>
    <v>1</v>
    <v>639100800000000000,639182196755885423,0</v>
    <v>0</v>
    <v>auvwoc</v>
    <v>Gold</v>
    <v>182</v>
  </rv>
  <rv s="10">
    <v>35</v>
    <v>ce8mrw</v>
    <v>Daily</v>
    <v>46195</v>
    <v>46195</v>
    <v>0</v>
    <v>1</v>
    <v>639176832000000000,639182196751983318,0</v>
    <v>0</v>
    <v>ce8mrw</v>
    <v>XNAS:ETHA</v>
    <v>183</v>
  </rv>
  <rv s="10">
    <v>35</v>
    <v>ce8mrw</v>
    <v>Daily</v>
    <v>45834</v>
    <v>45834</v>
    <v>0</v>
    <v>1</v>
    <v>638864928000000000,639182196752441328,0</v>
    <v>0</v>
    <v>ce8mrw</v>
    <v>XNAS:ETHA</v>
    <v>184</v>
  </rv>
  <rv s="10">
    <v>35</v>
    <v>ce8mrw</v>
    <v>Daily</v>
    <v>46107</v>
    <v>46107</v>
    <v>0</v>
    <v>1</v>
    <v>639100800000000000,639182196754670520,0</v>
    <v>0</v>
    <v>ce8mrw</v>
    <v>XNAS:ETHA</v>
    <v>185</v>
  </rv>
  <rv s="10">
    <v>35</v>
    <v>ce8mrw</v>
    <v>Daily</v>
    <v>46168</v>
    <v>46168</v>
    <v>0</v>
    <v>1</v>
    <v>639153504000000000,639182196755536704,0</v>
    <v>0</v>
    <v>ce8mrw</v>
    <v>XNAS:ETHA</v>
    <v>186</v>
  </rv>
  <rv s="10">
    <v>35</v>
    <v>a21mim</v>
    <v>Daily</v>
    <v>46168</v>
    <v>46168</v>
    <v>0</v>
    <v>1</v>
    <v>639153504000000000,639182196752372309,0</v>
    <v>0</v>
    <v>a21mim</v>
    <v>XNAS:QQQ</v>
    <v>187</v>
  </rv>
  <rv s="10">
    <v>35</v>
    <v>a21mim</v>
    <v>Daily</v>
    <v>46107</v>
    <v>46107</v>
    <v>0</v>
    <v>1</v>
    <v>639100800000000000,639182196752919756,0</v>
    <v>0</v>
    <v>a21mim</v>
    <v>XNAS:QQQ</v>
    <v>188</v>
  </rv>
  <rv s="10">
    <v>35</v>
    <v>a21mim</v>
    <v>Daily</v>
    <v>46195</v>
    <v>46195</v>
    <v>0</v>
    <v>1</v>
    <v>639176832000000000,639182196755616608,0</v>
    <v>0</v>
    <v>a21mim</v>
    <v>XNAS:QQQ</v>
    <v>189</v>
  </rv>
  <rv s="10">
    <v>35</v>
    <v>a21mim</v>
    <v>Daily</v>
    <v>45834</v>
    <v>45834</v>
    <v>0</v>
    <v>1</v>
    <v>638864928000000000,639182196755457307,0</v>
    <v>0</v>
    <v>a21mim</v>
    <v>XNAS:QQQ</v>
    <v>190</v>
  </rv>
  <rv s="10">
    <v>40</v>
    <v>avyomw</v>
    <v>Daily</v>
    <v>45834</v>
    <v>45834</v>
    <v>0</v>
    <v>1</v>
    <v>638864928000000000,639182196753182363,0</v>
    <v>0</v>
    <v>avyomw</v>
    <v>USDJPY</v>
    <v>191</v>
  </rv>
  <rv s="10">
    <v>40</v>
    <v>avyomw</v>
    <v>Daily</v>
    <v>44736</v>
    <v>44736</v>
    <v>0</v>
    <v>1</v>
    <v>637916256000000000,639182196751967693,0</v>
    <v>0</v>
    <v>avyomw</v>
    <v>USDJPY</v>
    <v>192</v>
  </rv>
  <rv s="10">
    <v>40</v>
    <v>avyomw</v>
    <v>Daily</v>
    <v>45469</v>
    <v>45469</v>
    <v>0</v>
    <v>1</v>
    <v>638549568000000000,639182196752938352,0</v>
    <v>0</v>
    <v>avyomw</v>
    <v>USDJPY</v>
    <v>193</v>
  </rv>
  <rv s="10">
    <v>40</v>
    <v>avyomw</v>
    <v>Daily</v>
    <v>46107</v>
    <v>46107</v>
    <v>0</v>
    <v>1</v>
    <v>639100800000000000,639182196751731823,0</v>
    <v>0</v>
    <v>avyomw</v>
    <v>USDJPY</v>
    <v>194</v>
  </rv>
  <rv s="10">
    <v>40</v>
    <v>avyomw</v>
    <v>Daily</v>
    <v>46168</v>
    <v>46168</v>
    <v>0</v>
    <v>1</v>
    <v>639153504000000000,639182196755123862,0</v>
    <v>0</v>
    <v>avyomw</v>
    <v>USDJPY</v>
    <v>195</v>
  </rv>
  <rv s="10">
    <v>40</v>
    <v>avyomw</v>
    <v>Daily</v>
    <v>45103</v>
    <v>45103</v>
    <v>0</v>
    <v>1</v>
    <v>638233344000000000,639182196754869873,0</v>
    <v>0</v>
    <v>avyomw</v>
    <v>USDJPY</v>
    <v>196</v>
  </rv>
  <rv s="10">
    <v>40</v>
    <v>avyomw</v>
    <v>Daily</v>
    <v>46195</v>
    <v>46195</v>
    <v>0</v>
    <v>1</v>
    <v>639176832000000000,639182196754668926,0</v>
    <v>0</v>
    <v>avyomw</v>
    <v>USDJPY</v>
    <v>197</v>
  </rv>
  <rv s="10">
    <v>40</v>
    <v>avyomw</v>
    <v>Daily</v>
    <v>45652</v>
    <v>45652</v>
    <v>0</v>
    <v>1</v>
    <v>638707680000000000,639182196756358453,0</v>
    <v>0</v>
    <v>avyomw</v>
    <v>USDJPY</v>
    <v>198</v>
  </rv>
</rvData>
</file>

<file path=xl/richData/rdrichvaluestructure.xml><?xml version="1.0" encoding="utf-8"?>
<rvStructures xmlns="http://schemas.microsoft.com/office/spreadsheetml/2017/richdata" count="11">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Category" t="s"/>
    <k n="Change"/>
    <k n="Change (%)"/>
    <k n="Country/region" t="s"/>
    <k n="Currency" t="s"/>
    <k n="Expiration Date"/>
    <k n="Instrument type" t="s"/>
    <k n="Last trade time"/>
    <k n="LearnMoreOnLink" t="r"/>
    <k n="Month"/>
    <k n="Name" t="s"/>
    <k n="Price"/>
    <k n="Ticker symbol" t="s"/>
    <k n="Trade Unit" t="s"/>
    <k n="UniqueName" t="s"/>
    <k n="Year"/>
  </s>
  <s t="_error">
    <k n="errorType" t="i"/>
    <k n="subType"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7">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5">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Instrument type</v>
      <v t="s">_Flags</v>
      <v t="s">UniqueName</v>
      <v t="s">_DisplayString</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6">
      <v t="s">%EntityServiceId</v>
      <v t="s">_Format</v>
      <v t="s">%IsRefreshable</v>
      <v t="s">%EntityCulture</v>
      <v t="s">%EntityId</v>
      <v t="s">_Icon</v>
      <v t="s">_Display</v>
      <v t="s">Name</v>
      <v t="s">Price</v>
      <v t="s">Last trade time</v>
      <v t="s">Ticker symbol</v>
      <v t="s">Change</v>
      <v t="s">Change (%)</v>
      <v t="s">Currency</v>
      <v t="s">Category</v>
      <v t="s">Expiration Date</v>
      <v t="s">Trade Unit</v>
      <v t="s">Year</v>
      <v t="s">Month</v>
      <v t="s">Country/region</v>
      <v t="s">Instrument type</v>
      <v t="s">_Flags</v>
      <v t="s">UniqueName</v>
      <v t="s">_DisplayString</v>
      <v t="s">LearnMoreOnLink</v>
      <v t="s">%ProviderInfo</v>
    </a>
  </spbArrays>
  <spbData count="41">
    <spb s="0">
      <v>0</v>
      <v>Name</v>
      <v>LearnMoreOnLink</v>
    </spb>
    <spb s="1">
      <v>0</v>
      <v>0</v>
      <v>0</v>
    </spb>
    <spb s="2">
      <v>1</v>
      <v>1</v>
      <v>1</v>
    </spb>
    <spb s="3">
      <v>1</v>
      <v>2</v>
      <v>1</v>
      <v>3</v>
      <v>1</v>
      <v>1</v>
      <v>1</v>
      <v>4</v>
      <v>5</v>
      <v>6</v>
      <v>1</v>
      <v>1</v>
      <v>5</v>
      <v>1</v>
      <v>4</v>
      <v>7</v>
      <v>8</v>
      <v>1</v>
      <v>1</v>
      <v>5</v>
    </spb>
    <spb s="4">
      <v>at close</v>
      <v>from previous close</v>
      <v>Source: Nasdaq</v>
      <v>from previous close</v>
      <v>GMT</v>
      <v>Delayed 15 minutes</v>
      <v>from close</v>
      <v>from close</v>
    </spb>
    <spb s="0">
      <v>1</v>
      <v>Name</v>
      <v>LearnMoreOnLink</v>
    </spb>
    <spb s="5">
      <v>9</v>
      <v>2</v>
      <v>9</v>
      <v>3</v>
      <v>9</v>
      <v>9</v>
      <v>9</v>
      <v>4</v>
      <v>5</v>
      <v>10</v>
      <v>9</v>
      <v>9</v>
      <v>5</v>
      <v>9</v>
      <v>7</v>
      <v>8</v>
    </spb>
    <spb s="6">
      <v>Delayed 20 minutes</v>
      <v>from previous close</v>
      <v>from previous close</v>
      <v>GMT</v>
    </spb>
    <spb s="7">
      <v>2</v>
      <v>Name</v>
    </spb>
    <spb s="8">
      <v>1</v>
      <v>1</v>
    </spb>
    <spb s="9">
      <v>1</v>
      <v>1</v>
      <v>3</v>
      <v>1</v>
      <v>1</v>
      <v>1</v>
      <v>4</v>
      <v>5</v>
      <v>6</v>
      <v>1</v>
      <v>1</v>
      <v>5</v>
      <v>1</v>
      <v>4</v>
      <v>7</v>
      <v>8</v>
      <v>1</v>
      <v>1</v>
      <v>5</v>
    </spb>
    <spb s="0">
      <v>3</v>
      <v>Name</v>
      <v>LearnMoreOnLink</v>
    </spb>
    <spb s="10">
      <v>1</v>
      <v>1</v>
      <v>1</v>
      <v>1</v>
    </spb>
    <spb s="11">
      <v>9</v>
      <v>2</v>
      <v>2</v>
      <v>9</v>
      <v>3</v>
      <v>9</v>
      <v>9</v>
      <v>9</v>
      <v>4</v>
      <v>4</v>
      <v>5</v>
      <v>10</v>
      <v>9</v>
      <v>9</v>
      <v>9</v>
      <v>4</v>
      <v>7</v>
      <v>11</v>
      <v>8</v>
      <v>4</v>
      <v>9</v>
      <v>9</v>
      <v>5</v>
    </spb>
    <spb s="12">
      <v>at close</v>
      <v>from previous close</v>
      <v>from previous close</v>
      <v>GMT</v>
      <v>Delayed 20 minutes</v>
      <v>from close</v>
      <v>from close</v>
    </spb>
    <spb s="11">
      <v>1</v>
      <v>2</v>
      <v>2</v>
      <v>1</v>
      <v>3</v>
      <v>1</v>
      <v>1</v>
      <v>1</v>
      <v>4</v>
      <v>4</v>
      <v>5</v>
      <v>6</v>
      <v>1</v>
      <v>1</v>
      <v>1</v>
      <v>4</v>
      <v>7</v>
      <v>11</v>
      <v>8</v>
      <v>4</v>
      <v>1</v>
      <v>1</v>
      <v>5</v>
    </spb>
    <spb s="13">
      <v>at close</v>
      <v>from previous close</v>
      <v>from previous close</v>
      <v>Source: Nasdaq</v>
      <v>GMT</v>
      <v>Delayed 15 minutes</v>
      <v>from close</v>
      <v>from close</v>
    </spb>
    <spb s="11">
      <v>1</v>
      <v>2</v>
      <v>2</v>
      <v>1</v>
      <v>3</v>
      <v>1</v>
      <v>1</v>
      <v>1</v>
      <v>4</v>
      <v>4</v>
      <v>5</v>
      <v>10</v>
      <v>1</v>
      <v>1</v>
      <v>1</v>
      <v>4</v>
      <v>7</v>
      <v>11</v>
      <v>8</v>
      <v>4</v>
      <v>1</v>
      <v>1</v>
      <v>5</v>
    </spb>
    <spb s="7">
      <v>4</v>
      <v>Name</v>
    </spb>
    <spb s="14">
      <v>3</v>
      <v>9</v>
      <v>9</v>
      <v>5</v>
      <v>9</v>
      <v>9</v>
      <v>9</v>
      <v>7</v>
      <v>8</v>
    </spb>
    <spb s="15">
      <v>GMT</v>
    </spb>
    <spb s="7">
      <v>5</v>
      <v>Name</v>
    </spb>
    <spb s="16">
      <v>1</v>
      <v>1</v>
      <v>3</v>
      <v>1</v>
      <v>1</v>
      <v>1</v>
      <v>5</v>
      <v>1</v>
      <v>1</v>
      <v>1</v>
      <v>7</v>
      <v>8</v>
    </spb>
    <spb s="14">
      <v>3</v>
      <v>12</v>
      <v>12</v>
      <v>5</v>
      <v>12</v>
      <v>12</v>
      <v>12</v>
      <v>7</v>
      <v>8</v>
    </spb>
    <spb s="14">
      <v>3</v>
      <v>13</v>
      <v>13</v>
      <v>5</v>
      <v>13</v>
      <v>13</v>
      <v>13</v>
      <v>7</v>
      <v>8</v>
    </spb>
    <spb s="14">
      <v>3</v>
      <v>14</v>
      <v>14</v>
      <v>5</v>
      <v>14</v>
      <v>14</v>
      <v>14</v>
      <v>7</v>
      <v>8</v>
    </spb>
    <spb s="14">
      <v>3</v>
      <v>15</v>
      <v>15</v>
      <v>5</v>
      <v>15</v>
      <v>15</v>
      <v>15</v>
      <v>7</v>
      <v>8</v>
    </spb>
    <spb s="14">
      <v>3</v>
      <v>16</v>
      <v>16</v>
      <v>5</v>
      <v>16</v>
      <v>16</v>
      <v>16</v>
      <v>7</v>
      <v>8</v>
    </spb>
    <spb s="14">
      <v>3</v>
      <v>17</v>
      <v>17</v>
      <v>5</v>
      <v>17</v>
      <v>17</v>
      <v>17</v>
      <v>7</v>
      <v>8</v>
    </spb>
    <spb s="14">
      <v>3</v>
      <v>18</v>
      <v>18</v>
      <v>5</v>
      <v>18</v>
      <v>18</v>
      <v>18</v>
      <v>7</v>
      <v>8</v>
    </spb>
    <spb s="0">
      <v>6</v>
      <v>Name</v>
      <v>LearnMoreOnLink</v>
    </spb>
    <spb s="17">
      <v>3</v>
      <v>11</v>
      <v>11</v>
      <v>1</v>
      <v>1</v>
      <v>5</v>
      <v>19</v>
      <v>7</v>
      <v>8</v>
    </spb>
    <spb s="18">
      <v>19</v>
      <v>18</v>
    </spb>
    <spb s="18">
      <v>19</v>
      <v>14</v>
    </spb>
    <spb s="18">
      <v>19</v>
      <v>12</v>
    </spb>
    <spb s="18">
      <v>19</v>
      <v>1</v>
    </spb>
    <spb s="18">
      <v>19</v>
      <v>17</v>
    </spb>
    <spb s="18">
      <v>19</v>
      <v>9</v>
    </spb>
    <spb s="18">
      <v>19</v>
      <v>16</v>
    </spb>
    <spb s="18">
      <v>19</v>
      <v>15</v>
    </spb>
    <spb s="18">
      <v>19</v>
      <v>13</v>
    </spb>
  </spbData>
</supportingPropertyBags>
</file>

<file path=xl/richData/rdsupportingpropertybagstructure.xml><?xml version="1.0" encoding="utf-8"?>
<spbStructures xmlns="http://schemas.microsoft.com/office/spreadsheetml/2017/richdata2" count="19">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Low" t="i"/>
    <k n="Beta" t="i"/>
    <k n="High" t="i"/>
    <k n="Name" t="i"/>
    <k n="Open" t="i"/>
    <k n="Price" t="i"/>
    <k n="Change" t="i"/>
    <k n="Volume" t="i"/>
    <k n="Change (%)" t="i"/>
    <k n="Market cap" t="i"/>
    <k n="52 week low" t="i"/>
    <k n="52 week high" t="i"/>
    <k n="Expense ratio" t="i"/>
    <k n="Previous close" t="i"/>
    <k n="Last trade time" t="i"/>
    <k n="`%EntityServiceId" t="i"/>
  </s>
  <s>
    <k n="Price" t="s"/>
    <k n="Change" t="s"/>
    <k n="Change (%)" t="s"/>
    <k n="Last trade time" t="s"/>
  </s>
  <s>
    <k n="^Order" t="spba"/>
    <k n="TitleProperty" t="s"/>
  </s>
  <s>
    <k n="UniqueName" t="spb"/>
    <k n="`%ProviderInfo" t="spb"/>
  </s>
  <s>
    <k n="Low"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Price" t="s"/>
    <k n="Change" t="s"/>
    <k n="Change (%)" t="s"/>
    <k n="ExchangeID" t="s"/>
    <k n="Last trade time" t="s"/>
    <k n="Price (Extended hours)" t="s"/>
    <k n="Change (Extended hours)" t="s"/>
    <k n="Change % (Extended hours)" t="s"/>
  </s>
  <s>
    <k n="Name" t="i"/>
    <k n="Price" t="i"/>
    <k n="Change" t="i"/>
    <k n="Change (%)" t="i"/>
    <k n="52 week low" t="i"/>
    <k n="52 week high" t="i"/>
    <k n="Previous close" t="i"/>
    <k n="Last trade time" t="i"/>
    <k n="`%EntityServiceId" t="i"/>
  </s>
  <s>
    <k n="Last trade time" t="s"/>
  </s>
  <s>
    <k n="Low" t="i"/>
    <k n="High" t="i"/>
    <k n="Name" t="i"/>
    <k n="Open" t="i"/>
    <k n="Price" t="i"/>
    <k n="Change" t="i"/>
    <k n="Change (%)" t="i"/>
    <k n="52 week low" t="i"/>
    <k n="52 week high" t="i"/>
    <k n="Previous close" t="i"/>
    <k n="Last trade time" t="i"/>
    <k n="`%EntityServiceId" t="i"/>
  </s>
  <s>
    <k n="Name" t="i"/>
    <k n="Year" t="i"/>
    <k n="Month" t="i"/>
    <k n="Price" t="i"/>
    <k n="Change" t="i"/>
    <k n="Change (%)" t="i"/>
    <k n="Expiration Date" t="i"/>
    <k n="Last trade time" t="i"/>
    <k n="`%EntityServiceId"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1">
      <rpv i="0">_-[$$-en-CA]* #,##0.00_-;-[$$-en-CA]* #,##0.00_-;_-[$$-en-CA]* "-"??_-;_-@_-</rpv>
    </rSty>
    <rSty dxfid="1">
      <rpv i="0">_-[$$-en-CA]* #,##0_-;-[$$-en-CA]* #,##0_-;_-[$$-en-CA]* "-"_-;_-@_-</rpv>
    </rSty>
    <rSty dxfid="6">
      <rpv i="0">0</rpv>
    </rSty>
    <rSty dxfid="1">
      <rpv i="0">_([$€-x-euro2] * #,##0.00_);_([$€-x-euro2] * (#,##0.00);_([$€-x-euro2] * "-"??_);_(@_)</rpv>
    </rSty>
    <rSty dxfid="1">
      <rpv i="0">_-[$¥-ja-JP]* #,##0.00_-;-[$¥-ja-JP]* #,##0.00_-;_-[$¥-ja-JP]* "-"??_-;_-@_-</rpv>
    </rSty>
    <rSty dxfid="1">
      <rpv i="0" xml:space="preserve">_ [$¥-zh-CN]* #,##0.00_ ;_ [$¥-zh-CN]* -#,##0.00_ ;_ [$¥-zh-CN]* "-"??_ ;_ @_ </rpv>
    </rSty>
    <rSty dxfid="1">
      <rpv i="0">_-[$₺-tr-TR]* #,##0.00_-;-[$₺-tr-TR]* #,##0.00_-;_-[$₺-tr-TR]* "-"??_-;_-@_-</rpv>
    </rSty>
    <rSty dxfid="1">
      <rpv i="0" xml:space="preserve">_ [$₹-as-IN] * #,##0.00_ ;_ [$₹-as-IN] * -#,##0.00_ ;_ [$₹-as-IN] * "-"??_ ;_ @_ </rpv>
    </rSty>
    <rSty dxfid="1">
      <rpv i="0">_-[$$-zh-SG]* #,##0.00_-;-[$$-zh-SG]* #,##0.00_-;_-[$$-zh-SG]* "-"??_-;_-@_-</rpv>
    </rSty>
    <rSty dxfid="1">
      <rpv i="0">_-[$NT$-zh-TW]* #,##0.00_-;-[$NT$-zh-TW]* #,##0.00_-;_-[$NT$-zh-TW]* "-"??_-;_-@_-</rpv>
    </rSty>
    <rSty dxfid="7"/>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4BD81-6DB1-4B58-AD9D-937BA1F33E86}">
  <dimension ref="A1:L21"/>
  <sheetViews>
    <sheetView tabSelected="1" workbookViewId="0">
      <pane ySplit="1" topLeftCell="A2" activePane="bottomLeft" state="frozen"/>
      <selection pane="bottomLeft" activeCell="D19" sqref="D19"/>
    </sheetView>
  </sheetViews>
  <sheetFormatPr defaultRowHeight="14.5" x14ac:dyDescent="0.35"/>
  <cols>
    <col min="1" max="1" width="51.1796875" customWidth="1"/>
    <col min="2" max="2" width="5.81640625" customWidth="1"/>
    <col min="3" max="3" width="8.54296875" customWidth="1"/>
    <col min="4" max="4" width="7.453125" customWidth="1"/>
    <col min="5" max="5" width="8.81640625" style="3"/>
    <col min="6" max="6" width="5.54296875" customWidth="1"/>
    <col min="7" max="7" width="7.36328125" style="4" customWidth="1"/>
    <col min="8" max="8" width="8.90625" style="4" customWidth="1"/>
    <col min="9" max="9" width="11.81640625" style="2" bestFit="1" customWidth="1"/>
    <col min="10" max="10" width="11.1796875" customWidth="1"/>
    <col min="11" max="11" width="10.453125" customWidth="1"/>
    <col min="12" max="12" width="11.81640625" customWidth="1"/>
  </cols>
  <sheetData>
    <row r="1" spans="1:12" x14ac:dyDescent="0.35">
      <c r="A1" t="s">
        <v>5</v>
      </c>
      <c r="B1" t="s">
        <v>6</v>
      </c>
      <c r="C1" t="s">
        <v>7</v>
      </c>
      <c r="D1" t="s">
        <v>8</v>
      </c>
      <c r="E1" s="3" t="s">
        <v>9</v>
      </c>
      <c r="F1" t="s">
        <v>10</v>
      </c>
      <c r="G1" s="4" t="s">
        <v>11</v>
      </c>
      <c r="H1" s="4" t="s">
        <v>12</v>
      </c>
      <c r="I1" s="8">
        <f ca="1">WORKDAY(TODAY(),-5)</f>
        <v>46195</v>
      </c>
      <c r="J1" s="8">
        <f ca="1">WORKDAY(EDATE(TODAY(),-1),-1)</f>
        <v>46168</v>
      </c>
      <c r="K1" s="8">
        <f ca="1">WORKDAY(EDATE(TODAY(),-3),-1)</f>
        <v>46107</v>
      </c>
      <c r="L1" s="8">
        <f ca="1">WORKDAY(EDATE(TODAY(),-12),-1)</f>
        <v>45834</v>
      </c>
    </row>
    <row r="2" spans="1:12" ht="18" customHeight="1" x14ac:dyDescent="0.35">
      <c r="A2" s="5" t="e" vm="1">
        <v>#VALUE!</v>
      </c>
      <c r="B2" s="5" t="s">
        <v>1</v>
      </c>
      <c r="C2" s="5" t="str" cm="1">
        <f t="array" aca="1" ref="C2" ca="1">_FV(A2,"Ticker symbol",TRUE)</f>
        <v>SPY</v>
      </c>
      <c r="D2" s="6">
        <v>100</v>
      </c>
      <c r="E2" s="3" cm="1">
        <f t="array" aca="1" ref="E2" ca="1">_FV(A2,"Price")</f>
        <v>728.99</v>
      </c>
      <c r="F2" t="str" cm="1">
        <f t="array" aca="1" ref="F2" ca="1">_FV(A2,"Currency")</f>
        <v>USD</v>
      </c>
      <c r="G2" s="4">
        <f t="shared" ref="G2" ca="1" si="0">D2*E2</f>
        <v>72899</v>
      </c>
      <c r="H2" s="4">
        <f ca="1">IF(F2="CAD",G2,(G2*Currency!$B$2))</f>
        <v>103472.8406</v>
      </c>
      <c r="I2" s="2" cm="1">
        <f t="array" aca="1" ref="I2" ca="1">($E2 - _xlfn.STOCKHISTORY($A2, I$1,I$1,0,0,1))/$E2</f>
        <v>-2.1125118314380138E-2</v>
      </c>
      <c r="J2" s="2" cm="1">
        <f t="array" aca="1" ref="J2" ca="1">($E2 - _xlfn.STOCKHISTORY($A2, J$1,J$1,0,0,1))/$E2</f>
        <v>-2.9630036077312478E-2</v>
      </c>
      <c r="K2" s="2" cm="1">
        <f t="array" aca="1" ref="K2" ca="1">($E2 - _xlfn.STOCKHISTORY($A2, K$1,K$1,0,0,1))/$E2</f>
        <v>0.11509074198548673</v>
      </c>
      <c r="L2" s="2" cm="1">
        <f t="array" aca="1" ref="L2" ca="1">($E2 - _xlfn.STOCKHISTORY($A2, L$1,L$1,0,0,1))/$E2</f>
        <v>0.16066064006364972</v>
      </c>
    </row>
    <row r="3" spans="1:12" ht="18" customHeight="1" x14ac:dyDescent="0.35">
      <c r="A3" s="5" t="e" vm="2">
        <v>#VALUE!</v>
      </c>
      <c r="B3" s="5" t="s">
        <v>1</v>
      </c>
      <c r="C3" s="5" t="str" cm="1">
        <f t="array" aca="1" ref="C3" ca="1">_FV(A3,"Ticker symbol",TRUE)</f>
        <v>QQQ</v>
      </c>
      <c r="D3" s="6">
        <v>100</v>
      </c>
      <c r="E3" s="3" cm="1">
        <f t="array" aca="1" ref="E3" ca="1">_FV(A3,"Price")</f>
        <v>706.52</v>
      </c>
      <c r="F3" t="str" cm="1">
        <f t="array" aca="1" ref="F3" ca="1">_FV(A3,"Currency")</f>
        <v>USD</v>
      </c>
      <c r="G3" s="4">
        <f t="shared" ref="G3:G8" ca="1" si="1">D3*E3</f>
        <v>70652</v>
      </c>
      <c r="H3" s="4">
        <f ca="1">IF(F3="CAD",G3,(G3*Currency!$B$2))</f>
        <v>100283.4488</v>
      </c>
      <c r="I3" s="2" cm="1">
        <f t="array" aca="1" ref="I3" ca="1">($E3 - _xlfn.STOCKHISTORY($A3, I$1,I$1,0,0,1))/$E3</f>
        <v>-4.4485647964672005E-2</v>
      </c>
      <c r="J3" s="2" cm="1">
        <f t="array" aca="1" ref="J3" ca="1">($E3 - _xlfn.STOCKHISTORY($A3, J$1,J$1,0,0,1))/$E3</f>
        <v>-3.3629621242144581E-2</v>
      </c>
      <c r="K3" s="2" cm="1">
        <f t="array" aca="1" ref="K3" ca="1">($E3 - _xlfn.STOCKHISTORY($A3, K$1,K$1,0,0,1))/$E3</f>
        <v>0.18786446243559987</v>
      </c>
      <c r="L3" s="2" cm="1">
        <f t="array" aca="1" ref="L3" ca="1">($E3 - _xlfn.STOCKHISTORY($A3, L$1,L$1,0,0,1))/$E3</f>
        <v>0.22688671233652261</v>
      </c>
    </row>
    <row r="4" spans="1:12" x14ac:dyDescent="0.35">
      <c r="A4" s="5" t="e" vm="3">
        <v>#VALUE!</v>
      </c>
      <c r="B4" s="5" t="s">
        <v>1</v>
      </c>
      <c r="C4" s="5" t="str" cm="1">
        <f t="array" aca="1" ref="C4" ca="1">_FV(A4,"Ticker symbol",TRUE)</f>
        <v>XIU</v>
      </c>
      <c r="D4" s="6">
        <v>2000</v>
      </c>
      <c r="E4" s="3" cm="1">
        <f t="array" aca="1" ref="E4" ca="1">_FV(A4,"Price")</f>
        <v>51.96</v>
      </c>
      <c r="F4" t="str" cm="1">
        <f t="array" aca="1" ref="F4" ca="1">_FV(A4,"Currency")</f>
        <v>CAD</v>
      </c>
      <c r="G4" s="4">
        <f t="shared" ca="1" si="1"/>
        <v>103920</v>
      </c>
      <c r="H4" s="4">
        <f ca="1">IF(F4="CAD",G4,(G4*Currency!$B$2))</f>
        <v>103920</v>
      </c>
      <c r="I4" s="2" cm="1">
        <f t="array" aca="1" ref="I4" ca="1">($E4 - _xlfn.STOCKHISTORY($A4, I$1,I$1,0,0,1))/$E4</f>
        <v>2.3094688221708512E-3</v>
      </c>
      <c r="J4" s="2" cm="1">
        <f t="array" aca="1" ref="J4" ca="1">($E4 - _xlfn.STOCKHISTORY($A4, J$1,J$1,0,0,1))/$E4</f>
        <v>2.0592763664357205E-2</v>
      </c>
      <c r="K4" s="2" cm="1">
        <f t="array" aca="1" ref="K4" ca="1">($E4 - _xlfn.STOCKHISTORY($A4, K$1,K$1,0,0,1))/$E4</f>
        <v>9.4495765973826085E-2</v>
      </c>
      <c r="L4" s="2" cm="1">
        <f t="array" aca="1" ref="L4" ca="1">($E4 - _xlfn.STOCKHISTORY($A4, L$1,L$1,0,0,1))/$E4</f>
        <v>0.22575057736720561</v>
      </c>
    </row>
    <row r="5" spans="1:12" x14ac:dyDescent="0.35">
      <c r="A5" s="5" t="e" vm="4">
        <v>#VALUE!</v>
      </c>
      <c r="B5" s="5" t="s">
        <v>1</v>
      </c>
      <c r="C5" s="5" t="str" cm="1">
        <f t="array" aca="1" ref="C5" ca="1">_FV(A5,"Ticker symbol",TRUE)</f>
        <v>TLT</v>
      </c>
      <c r="D5" s="6">
        <v>800</v>
      </c>
      <c r="E5" s="3" cm="1">
        <f t="array" aca="1" ref="E5" ca="1">_FV(A5,"Price")</f>
        <v>87.36</v>
      </c>
      <c r="F5" t="str" cm="1">
        <f t="array" aca="1" ref="F5" ca="1">_FV(A5,"Currency")</f>
        <v>USD</v>
      </c>
      <c r="G5" s="4">
        <f t="shared" ref="G5:G7" ca="1" si="2">D5*E5</f>
        <v>69888</v>
      </c>
      <c r="H5" s="4">
        <f ca="1">IF(F5="CAD",G5,(G5*Currency!$B$2))</f>
        <v>99199.027199999997</v>
      </c>
      <c r="I5" s="2" cm="1">
        <f t="array" aca="1" ref="I5" ca="1">($E5 - _xlfn.STOCKHISTORY($A5, I$1,I$1,0,0,1))/$E5</f>
        <v>1.4537545787545743E-2</v>
      </c>
      <c r="J5" s="2" cm="1">
        <f t="array" aca="1" ref="J5" ca="1">($E5 - _xlfn.STOCKHISTORY($A5, J$1,J$1,0,0,1))/$E5</f>
        <v>2.5869963369963427E-2</v>
      </c>
      <c r="K5" s="2" cm="1">
        <f t="array" aca="1" ref="K5" ca="1">($E5 - _xlfn.STOCKHISTORY($A5, K$1,K$1,0,0,1))/$E5</f>
        <v>1.4308608058608058E-2</v>
      </c>
      <c r="L5" s="2" cm="1">
        <f t="array" aca="1" ref="L5" ca="1">($E5 - _xlfn.STOCKHISTORY($A5, L$1,L$1,0,0,1))/$E5</f>
        <v>-6.753663003663043E-3</v>
      </c>
    </row>
    <row r="6" spans="1:12" x14ac:dyDescent="0.35">
      <c r="A6" s="5" t="e" vm="5">
        <v>#VALUE!</v>
      </c>
      <c r="B6" s="5" t="s">
        <v>1</v>
      </c>
      <c r="C6" s="5" t="str" cm="1">
        <f t="array" aca="1" ref="C6" ca="1">_FV(A6,"Ticker symbol",TRUE)</f>
        <v>GBUG</v>
      </c>
      <c r="D6" s="6">
        <v>1000</v>
      </c>
      <c r="E6" s="3" cm="1">
        <f t="array" aca="1" ref="E6" ca="1">_FV(A6,"Price")</f>
        <v>39.6355</v>
      </c>
      <c r="F6" t="str" cm="1">
        <f t="array" aca="1" ref="F6" ca="1">_FV(A6,"Currency")</f>
        <v>USD</v>
      </c>
      <c r="G6" s="4">
        <f t="shared" ca="1" si="2"/>
        <v>39635.5</v>
      </c>
      <c r="H6" s="4">
        <f ca="1">IF(F6="CAD",G6,(G6*Currency!$B$2))</f>
        <v>56258.628700000001</v>
      </c>
      <c r="I6" s="2" cm="1">
        <f t="array" aca="1" ref="I6" ca="1">($E6 - _xlfn.STOCKHISTORY($A6, I$1,I$1,0,0,1))/$E6</f>
        <v>-4.6031966292843549E-2</v>
      </c>
      <c r="J6" s="2" cm="1">
        <f t="array" aca="1" ref="J6" ca="1">($E6 - _xlfn.STOCKHISTORY($A6, J$1,J$1,0,0,1))/$E6</f>
        <v>-0.12046019351339067</v>
      </c>
      <c r="K6" s="2" cm="1">
        <f t="array" aca="1" ref="K6" ca="1">($E6 - _xlfn.STOCKHISTORY($A6, K$1,K$1,0,0,1))/$E6</f>
        <v>-2.9127928246142947E-2</v>
      </c>
      <c r="L6" s="2" cm="1">
        <f t="array" aca="1" ref="L6" ca="1">($E6 - _xlfn.STOCKHISTORY($A6, L$1,L$1,0,0,1))/$E6</f>
        <v>0.35482837355401092</v>
      </c>
    </row>
    <row r="7" spans="1:12" x14ac:dyDescent="0.35">
      <c r="A7" s="5" t="e" vm="6">
        <v>#VALUE!</v>
      </c>
      <c r="B7" s="5" t="s">
        <v>1</v>
      </c>
      <c r="C7" s="5" t="str" cm="1">
        <f t="array" aca="1" ref="C7" ca="1">_FV(A7,"Ticker symbol",TRUE)</f>
        <v>FNV</v>
      </c>
      <c r="D7" s="6">
        <v>200</v>
      </c>
      <c r="E7" s="3" cm="1">
        <f t="array" aca="1" ref="E7" ca="1">_FV(A7,"Price")</f>
        <v>305.32</v>
      </c>
      <c r="F7" t="str" cm="1">
        <f t="array" aca="1" ref="F7" ca="1">_FV(A7,"Currency")</f>
        <v>CAD</v>
      </c>
      <c r="G7" s="4">
        <f t="shared" ca="1" si="2"/>
        <v>61064</v>
      </c>
      <c r="H7" s="4">
        <f ca="1">IF(F7="CAD",G7,(G7*Currency!$B$2))</f>
        <v>61064</v>
      </c>
      <c r="I7" s="2" cm="1">
        <f t="array" aca="1" ref="I7" ca="1">($E7 - _xlfn.STOCKHISTORY($A7, I$1,I$1,0,0,1))/$E7</f>
        <v>-2.4269618760644651E-2</v>
      </c>
      <c r="J7" s="2" cm="1">
        <f t="array" aca="1" ref="J7" ca="1">($E7 - _xlfn.STOCKHISTORY($A7, J$1,J$1,0,0,1))/$E7</f>
        <v>-3.6650072055548273E-2</v>
      </c>
      <c r="K7" s="2" cm="1">
        <f t="array" aca="1" ref="K7" ca="1">($E7 - _xlfn.STOCKHISTORY($A7, K$1,K$1,0,0,1))/$E7</f>
        <v>-3.3014542119743168E-2</v>
      </c>
      <c r="L7" s="2" cm="1">
        <f t="array" aca="1" ref="L7" ca="1">($E7 - _xlfn.STOCKHISTORY($A7, L$1,L$1,0,0,1))/$E7</f>
        <v>0.26369055417267129</v>
      </c>
    </row>
    <row r="8" spans="1:12" x14ac:dyDescent="0.35">
      <c r="A8" s="5" t="e" vm="7">
        <v>#VALUE!</v>
      </c>
      <c r="B8" s="5" t="s">
        <v>1</v>
      </c>
      <c r="C8" s="5" t="str" cm="1">
        <f t="array" aca="1" ref="C8" ca="1">_FV(A8,"Ticker symbol",TRUE)</f>
        <v>WPM</v>
      </c>
      <c r="D8" s="6">
        <v>400</v>
      </c>
      <c r="E8" s="3" cm="1">
        <f t="array" aca="1" ref="E8" ca="1">_FV(A8,"Price")</f>
        <v>160.71</v>
      </c>
      <c r="F8" t="str" cm="1">
        <f t="array" aca="1" ref="F8" ca="1">_FV(A8,"Currency")</f>
        <v>CAD</v>
      </c>
      <c r="G8" s="4">
        <f t="shared" ca="1" si="1"/>
        <v>64284</v>
      </c>
      <c r="H8" s="4">
        <f ca="1">IF(F8="CAD",G8,(G8*Currency!$B$2))</f>
        <v>64284</v>
      </c>
      <c r="I8" s="2" cm="1">
        <f t="array" aca="1" ref="I8" ca="1">($E8 - _xlfn.STOCKHISTORY($A8, I$1,I$1,0,0,1))/$E8</f>
        <v>-7.2988613029680724E-2</v>
      </c>
      <c r="J8" s="2" cm="1">
        <f t="array" aca="1" ref="J8" ca="1">($E8 - _xlfn.STOCKHISTORY($A8, J$1,J$1,0,0,1))/$E8</f>
        <v>-0.12096322568601828</v>
      </c>
      <c r="K8" s="2" cm="1">
        <f t="array" aca="1" ref="K8" ca="1">($E8 - _xlfn.STOCKHISTORY($A8, K$1,K$1,0,0,1))/$E8</f>
        <v>-2.6382925766909218E-2</v>
      </c>
      <c r="L8" s="2" cm="1">
        <f t="array" aca="1" ref="L8" ca="1">($E8 - _xlfn.STOCKHISTORY($A8, L$1,L$1,0,0,1))/$E8</f>
        <v>0.23396179453674323</v>
      </c>
    </row>
    <row r="9" spans="1:12" x14ac:dyDescent="0.35">
      <c r="A9" s="5" t="e" vm="8">
        <v>#VALUE!</v>
      </c>
      <c r="B9" s="5" t="s">
        <v>1</v>
      </c>
      <c r="C9" s="5" t="str" cm="1">
        <f t="array" aca="1" ref="C9" ca="1">_FV(A9,"Ticker symbol",TRUE)</f>
        <v>CCO</v>
      </c>
      <c r="D9" s="6">
        <v>500</v>
      </c>
      <c r="E9" s="3" cm="1">
        <f t="array" aca="1" ref="E9" ca="1">_FV(A9,"Price")</f>
        <v>147.97</v>
      </c>
      <c r="F9" t="str" cm="1">
        <f t="array" aca="1" ref="F9" ca="1">_FV(A9,"Currency")</f>
        <v>CAD</v>
      </c>
      <c r="G9" s="4">
        <f t="shared" ref="G9:G10" ca="1" si="3">D9*E9</f>
        <v>73985</v>
      </c>
      <c r="H9" s="4">
        <f ca="1">IF(F9="CAD",G9,(G9*Currency!$B$2))</f>
        <v>73985</v>
      </c>
      <c r="I9" s="2" cm="1">
        <f t="array" aca="1" ref="I9" ca="1">($E9 - _xlfn.STOCKHISTORY($A9, I$1,I$1,0,0,1))/$E9</f>
        <v>-2.5478137460296077E-2</v>
      </c>
      <c r="J9" s="2" cm="1">
        <f t="array" aca="1" ref="J9" ca="1">($E9 - _xlfn.STOCKHISTORY($A9, J$1,J$1,0,0,1))/$E9</f>
        <v>-1.0137189970940055E-2</v>
      </c>
      <c r="K9" s="2" cm="1">
        <f t="array" aca="1" ref="K9" ca="1">($E9 - _xlfn.STOCKHISTORY($A9, K$1,K$1,0,0,1))/$E9</f>
        <v>2.0139217408934176E-2</v>
      </c>
      <c r="L9" s="2" cm="1">
        <f t="array" aca="1" ref="L9" ca="1">($E9 - _xlfn.STOCKHISTORY($A9, L$1,L$1,0,0,1))/$E9</f>
        <v>0.31405014529972292</v>
      </c>
    </row>
    <row r="10" spans="1:12" x14ac:dyDescent="0.35">
      <c r="A10" s="5" t="e" vm="9">
        <v>#VALUE!</v>
      </c>
      <c r="B10" s="5" t="s">
        <v>1</v>
      </c>
      <c r="C10" s="5" t="str" cm="1">
        <f t="array" aca="1" ref="C10" ca="1">_FV(A10,"Ticker symbol",TRUE)</f>
        <v>NVDA</v>
      </c>
      <c r="D10" s="6">
        <v>200</v>
      </c>
      <c r="E10" s="3" cm="1">
        <f t="array" aca="1" ref="E10" ca="1">_FV(A10,"Price")</f>
        <v>192.53</v>
      </c>
      <c r="F10" t="str" cm="1">
        <f t="array" aca="1" ref="F10" ca="1">_FV(A10,"Currency")</f>
        <v>USD</v>
      </c>
      <c r="G10" s="4">
        <f t="shared" ca="1" si="3"/>
        <v>38506</v>
      </c>
      <c r="H10" s="4">
        <f ca="1">IF(F10="CAD",G10,(G10*Currency!$B$2))</f>
        <v>54655.416400000002</v>
      </c>
      <c r="I10" s="2" cm="1">
        <f t="array" aca="1" ref="I10" ca="1">($E10 - _xlfn.STOCKHISTORY($A10, I$1,I$1,0,0,1))/$E10</f>
        <v>-8.3727211343686728E-2</v>
      </c>
      <c r="J10" s="2" cm="1">
        <f t="array" aca="1" ref="J10" ca="1">($E10 - _xlfn.STOCKHISTORY($A10, J$1,J$1,0,0,1))/$E10</f>
        <v>-0.11598192489482165</v>
      </c>
      <c r="K10" s="2" cm="1">
        <f t="array" aca="1" ref="K10" ca="1">($E10 - _xlfn.STOCKHISTORY($A10, K$1,K$1,0,0,1))/$E10</f>
        <v>0.11058016932426111</v>
      </c>
      <c r="L10" s="2" cm="1">
        <f t="array" aca="1" ref="L10" ca="1">($E10 - _xlfn.STOCKHISTORY($A10, L$1,L$1,0,0,1))/$E10</f>
        <v>0.19482678024204014</v>
      </c>
    </row>
    <row r="11" spans="1:12" x14ac:dyDescent="0.35">
      <c r="A11" s="5" t="e" vm="10">
        <v>#VALUE!</v>
      </c>
      <c r="B11" s="5" t="s">
        <v>1</v>
      </c>
      <c r="C11" s="5" t="str" cm="1">
        <f t="array" aca="1" ref="C11" ca="1">_FV(A11,"Ticker symbol",TRUE)</f>
        <v>AMD</v>
      </c>
      <c r="D11" s="6">
        <v>200</v>
      </c>
      <c r="E11" s="3" cm="1">
        <f t="array" aca="1" ref="E11" ca="1">_FV(A11,"Price")</f>
        <v>521.58000000000004</v>
      </c>
      <c r="F11" t="str" cm="1">
        <f t="array" aca="1" ref="F11" ca="1">_FV(A11,"Currency")</f>
        <v>USD</v>
      </c>
      <c r="G11" s="4">
        <f t="shared" ref="G11:G14" ca="1" si="4">D11*E11</f>
        <v>104316.00000000001</v>
      </c>
      <c r="H11" s="4">
        <f ca="1">IF(F11="CAD",G11,(G11*Currency!$B$2))</f>
        <v>148066.13040000002</v>
      </c>
      <c r="I11" s="2" cm="1">
        <f t="array" aca="1" ref="I11" ca="1">($E11 - _xlfn.STOCKHISTORY($A11, I$1,I$1,0,0,1))/$E11</f>
        <v>-5.7613405421986945E-2</v>
      </c>
      <c r="J11" s="2" cm="1">
        <f t="array" aca="1" ref="J11" ca="1">($E11 - _xlfn.STOCKHISTORY($A11, J$1,J$1,0,0,1))/$E11</f>
        <v>3.3916177767552541E-2</v>
      </c>
      <c r="K11" s="2" cm="1">
        <f t="array" aca="1" ref="K11" ca="1">($E11 - _xlfn.STOCKHISTORY($A11, K$1,K$1,0,0,1))/$E11</f>
        <v>0.60932167644464896</v>
      </c>
      <c r="L11" s="2" cm="1">
        <f t="array" aca="1" ref="L11" ca="1">($E11 - _xlfn.STOCKHISTORY($A11, L$1,L$1,0,0,1))/$E11</f>
        <v>0.72452931477433946</v>
      </c>
    </row>
    <row r="12" spans="1:12" x14ac:dyDescent="0.35">
      <c r="A12" s="5" t="e" vm="11">
        <v>#VALUE!</v>
      </c>
      <c r="B12" s="5" t="s">
        <v>1</v>
      </c>
      <c r="C12" s="5" t="str" cm="1">
        <f t="array" aca="1" ref="C12" ca="1">_FV(A12,"Ticker symbol",TRUE)</f>
        <v>GOOG</v>
      </c>
      <c r="D12" s="6">
        <v>150</v>
      </c>
      <c r="E12" s="3" cm="1">
        <f t="array" aca="1" ref="E12" ca="1">_FV(A12,"Price")</f>
        <v>334.69</v>
      </c>
      <c r="F12" t="str" cm="1">
        <f t="array" aca="1" ref="F12" ca="1">_FV(A12,"Currency")</f>
        <v>USD</v>
      </c>
      <c r="G12" s="4">
        <f t="shared" ref="G12:G13" ca="1" si="5">D12*E12</f>
        <v>50203.5</v>
      </c>
      <c r="H12" s="4">
        <f ca="1">IF(F12="CAD",G12,(G12*Currency!$B$2))</f>
        <v>71258.847899999993</v>
      </c>
      <c r="I12" s="2" cm="1">
        <f t="array" aca="1" ref="I12" ca="1">($E12 - _xlfn.STOCKHISTORY($A12, I$1,I$1,0,0,1))/$E12</f>
        <v>-4.2098658460067453E-2</v>
      </c>
      <c r="J12" s="2" cm="1">
        <f t="array" aca="1" ref="J12" ca="1">($E12 - _xlfn.STOCKHISTORY($A12, J$1,J$1,0,0,1))/$E12</f>
        <v>-0.14984015058711039</v>
      </c>
      <c r="K12" s="2" cm="1">
        <f t="array" aca="1" ref="K12" ca="1">($E12 - _xlfn.STOCKHISTORY($A12, K$1,K$1,0,0,1))/$E12</f>
        <v>0.16119394066150763</v>
      </c>
      <c r="L12" s="2" cm="1">
        <f t="array" aca="1" ref="L12" ca="1">($E12 - _xlfn.STOCKHISTORY($A12, L$1,L$1,0,0,1))/$E12</f>
        <v>0.47883115719023572</v>
      </c>
    </row>
    <row r="13" spans="1:12" x14ac:dyDescent="0.35">
      <c r="A13" s="5" t="e" vm="12">
        <v>#VALUE!</v>
      </c>
      <c r="B13" s="5" t="s">
        <v>1</v>
      </c>
      <c r="C13" s="5" t="str" cm="1">
        <f t="array" aca="1" ref="C13" ca="1">_FV(A13,"Ticker symbol",TRUE)</f>
        <v>XOM</v>
      </c>
      <c r="D13" s="6">
        <v>200</v>
      </c>
      <c r="E13" s="3" cm="1">
        <f t="array" aca="1" ref="E13" ca="1">_FV(A13,"Price")</f>
        <v>136.54</v>
      </c>
      <c r="F13" t="str" cm="1">
        <f t="array" aca="1" ref="F13" ca="1">_FV(A13,"Currency")</f>
        <v>USD</v>
      </c>
      <c r="G13" s="4">
        <f t="shared" ca="1" si="5"/>
        <v>27308</v>
      </c>
      <c r="H13" s="4">
        <f ca="1">IF(F13="CAD",G13,(G13*Currency!$B$2))</f>
        <v>38760.975200000001</v>
      </c>
      <c r="I13" s="2" cm="1">
        <f t="array" aca="1" ref="I13" ca="1">($E13 - _xlfn.STOCKHISTORY($A13, I$1,I$1,0,0,1))/$E13</f>
        <v>-1.4135051999414143E-2</v>
      </c>
      <c r="J13" s="2" cm="1">
        <f t="array" aca="1" ref="J13" ca="1">($E13 - _xlfn.STOCKHISTORY($A13, J$1,J$1,0,0,1))/$E13</f>
        <v>-9.718763732239645E-2</v>
      </c>
      <c r="K13" s="2" cm="1">
        <f t="array" aca="1" ref="K13" ca="1">($E13 - _xlfn.STOCKHISTORY($A13, K$1,K$1,0,0,1))/$E13</f>
        <v>-0.21158634832283593</v>
      </c>
      <c r="L13" s="2" cm="1">
        <f t="array" aca="1" ref="L13" ca="1">($E13 - _xlfn.STOCKHISTORY($A13, L$1,L$1,0,0,1))/$E13</f>
        <v>0.19444851325618864</v>
      </c>
    </row>
    <row r="14" spans="1:12" x14ac:dyDescent="0.35">
      <c r="A14" s="5" t="e" vm="13">
        <v>#VALUE!</v>
      </c>
      <c r="B14" s="5" t="s">
        <v>1</v>
      </c>
      <c r="C14" s="5" t="str" cm="1">
        <f t="array" aca="1" ref="C14" ca="1">_FV(A14,"Ticker symbol",TRUE)</f>
        <v>CVX</v>
      </c>
      <c r="D14" s="6">
        <v>200</v>
      </c>
      <c r="E14" s="3" cm="1">
        <f t="array" aca="1" ref="E14" ca="1">_FV(A14,"Price")</f>
        <v>171.06</v>
      </c>
      <c r="F14" t="str" cm="1">
        <f t="array" aca="1" ref="F14" ca="1">_FV(A14,"Currency")</f>
        <v>USD</v>
      </c>
      <c r="G14" s="4">
        <f t="shared" ca="1" si="4"/>
        <v>34212</v>
      </c>
      <c r="H14" s="4">
        <f ca="1">IF(F14="CAD",G14,(G14*Currency!$B$2))</f>
        <v>48560.512799999997</v>
      </c>
      <c r="I14" s="2" cm="1">
        <f t="array" aca="1" ref="I14" ca="1">($E14 - _xlfn.STOCKHISTORY($A14, I$1,I$1,0,0,1))/$E14</f>
        <v>-2.3383608090728401E-2</v>
      </c>
      <c r="J14" s="2" cm="1">
        <f t="array" aca="1" ref="J14" ca="1">($E14 - _xlfn.STOCKHISTORY($A14, J$1,J$1,0,0,1))/$E14</f>
        <v>-7.9796562609610697E-2</v>
      </c>
      <c r="K14" s="2" cm="1">
        <f t="array" aca="1" ref="K14" ca="1">($E14 - _xlfn.STOCKHISTORY($A14, K$1,K$1,0,0,1))/$E14</f>
        <v>-0.21471998129311345</v>
      </c>
      <c r="L14" s="2" cm="1">
        <f t="array" aca="1" ref="L14" ca="1">($E14 - _xlfn.STOCKHISTORY($A14, L$1,L$1,0,0,1))/$E14</f>
        <v>0.15561791184379753</v>
      </c>
    </row>
    <row r="15" spans="1:12" x14ac:dyDescent="0.35">
      <c r="A15" s="5" t="e" vm="14">
        <v>#VALUE!</v>
      </c>
      <c r="B15" s="5" t="s">
        <v>24</v>
      </c>
      <c r="C15" s="5" t="str" cm="1">
        <f t="array" aca="1" ref="C15" ca="1">_FV(A15,"Ticker symbol",TRUE)</f>
        <v>IBIT</v>
      </c>
      <c r="D15" s="6">
        <v>1000</v>
      </c>
      <c r="E15" s="3" cm="1">
        <f t="array" aca="1" ref="E15" ca="1">_FV(A15,"Price")</f>
        <v>33.85</v>
      </c>
      <c r="F15" t="str" cm="1">
        <f t="array" aca="1" ref="F15" ca="1">_FV(A15,"Currency")</f>
        <v>USD</v>
      </c>
      <c r="G15" s="4">
        <f t="shared" ref="G15:G16" ca="1" si="6">D15*E15</f>
        <v>33850</v>
      </c>
      <c r="H15" s="4">
        <f ca="1">IF(F15="CAD",G15,(G15*Currency!$B$2))</f>
        <v>48046.69</v>
      </c>
      <c r="I15" s="2" cm="1">
        <f t="array" aca="1" ref="I15" ca="1">($E15 - _xlfn.STOCKHISTORY($A15, I$1,I$1,0,0,1))/$E15</f>
        <v>-7.8286558345642493E-2</v>
      </c>
      <c r="J15" s="2" cm="1">
        <f t="array" aca="1" ref="J15" ca="1">($E15 - _xlfn.STOCKHISTORY($A15, J$1,J$1,0,0,1))/$E15</f>
        <v>-0.27001477104874444</v>
      </c>
      <c r="K15" s="2" cm="1">
        <f t="array" aca="1" ref="K15" ca="1">($E15 - _xlfn.STOCKHISTORY($A15, K$1,K$1,0,0,1))/$E15</f>
        <v>-0.14682422451994087</v>
      </c>
      <c r="L15" s="2" cm="1">
        <f t="array" aca="1" ref="L15" ca="1">($E15 - _xlfn.STOCKHISTORY($A15, L$1,L$1,0,0,1))/$E15</f>
        <v>-0.80620384047267346</v>
      </c>
    </row>
    <row r="16" spans="1:12" x14ac:dyDescent="0.35">
      <c r="A16" s="5" t="e" vm="15">
        <v>#VALUE!</v>
      </c>
      <c r="B16" s="5" t="s">
        <v>24</v>
      </c>
      <c r="C16" s="5" t="str" cm="1">
        <f t="array" aca="1" ref="C16" ca="1">_FV(A16,"Ticker symbol",TRUE)</f>
        <v>ETHA</v>
      </c>
      <c r="D16" s="6">
        <v>500</v>
      </c>
      <c r="E16" s="3" cm="1">
        <f t="array" aca="1" ref="E16" ca="1">_FV(A16,"Price")</f>
        <v>11.89</v>
      </c>
      <c r="F16" t="str" cm="1">
        <f t="array" aca="1" ref="F16" ca="1">_FV(A16,"Currency")</f>
        <v>USD</v>
      </c>
      <c r="G16" s="4">
        <f t="shared" ca="1" si="6"/>
        <v>5945</v>
      </c>
      <c r="H16" s="4">
        <f ca="1">IF(F16="CAD",G16,(G16*Currency!$B$2))</f>
        <v>8438.3330000000005</v>
      </c>
      <c r="I16" s="2" cm="1">
        <f t="array" aca="1" ref="I16" ca="1">($E16 - _xlfn.STOCKHISTORY($A16, I$1,I$1,0,0,1))/$E16</f>
        <v>-9.8402018502943639E-2</v>
      </c>
      <c r="J16" s="2" cm="1">
        <f t="array" aca="1" ref="J16" ca="1">($E16 - _xlfn.STOCKHISTORY($A16, J$1,J$1,0,0,1))/$E16</f>
        <v>-0.313708999158957</v>
      </c>
      <c r="K16" s="2" cm="1">
        <f t="array" aca="1" ref="K16" ca="1">($E16 - _xlfn.STOCKHISTORY($A16, K$1,K$1,0,0,1))/$E16</f>
        <v>-0.30025231286795628</v>
      </c>
      <c r="L16" s="2" cm="1">
        <f t="array" aca="1" ref="L16" ca="1">($E16 - _xlfn.STOCKHISTORY($A16, L$1,L$1,0,0,1))/$E16</f>
        <v>-0.55256518082422201</v>
      </c>
    </row>
    <row r="17" spans="2:8" x14ac:dyDescent="0.35">
      <c r="B17" s="5" t="s">
        <v>1</v>
      </c>
      <c r="C17" t="s">
        <v>0</v>
      </c>
      <c r="D17" s="6">
        <v>500</v>
      </c>
      <c r="E17" s="6">
        <v>1</v>
      </c>
      <c r="F17" s="5" t="s">
        <v>13</v>
      </c>
      <c r="G17" s="4">
        <f>D17*E17</f>
        <v>500</v>
      </c>
      <c r="H17" s="4">
        <f>IF(F17="CAD",G17,(G17*Currency!$B$2))</f>
        <v>500</v>
      </c>
    </row>
    <row r="18" spans="2:8" x14ac:dyDescent="0.35">
      <c r="B18" s="5" t="s">
        <v>1</v>
      </c>
      <c r="C18" t="s">
        <v>0</v>
      </c>
      <c r="D18" s="6">
        <v>3000</v>
      </c>
      <c r="E18" s="6">
        <v>1</v>
      </c>
      <c r="F18" s="5" t="s">
        <v>14</v>
      </c>
      <c r="G18" s="4">
        <f>D18*E18</f>
        <v>3000</v>
      </c>
      <c r="H18" s="4">
        <f ca="1">IF(F18="CAD",G18,(G18*Currency!$B$2))</f>
        <v>4258.2</v>
      </c>
    </row>
    <row r="19" spans="2:8" ht="13.5" customHeight="1" x14ac:dyDescent="0.35">
      <c r="B19" s="5" t="s">
        <v>24</v>
      </c>
      <c r="C19" t="s">
        <v>0</v>
      </c>
      <c r="D19" s="6">
        <v>2000</v>
      </c>
      <c r="E19" s="6">
        <v>1</v>
      </c>
      <c r="F19" s="5" t="s">
        <v>13</v>
      </c>
      <c r="G19" s="4">
        <f t="shared" ref="G19:G20" si="7">D19*E19</f>
        <v>2000</v>
      </c>
      <c r="H19" s="4">
        <f>IF(F19="CAD",G19,(G19*Currency!$B$2))</f>
        <v>2000</v>
      </c>
    </row>
    <row r="20" spans="2:8" ht="15" customHeight="1" x14ac:dyDescent="0.35">
      <c r="B20" s="5" t="s">
        <v>24</v>
      </c>
      <c r="C20" t="s">
        <v>0</v>
      </c>
      <c r="D20" s="6">
        <v>0</v>
      </c>
      <c r="E20" s="6">
        <v>1</v>
      </c>
      <c r="F20" s="5" t="s">
        <v>14</v>
      </c>
      <c r="G20" s="4">
        <f t="shared" si="7"/>
        <v>0</v>
      </c>
      <c r="H20" s="4">
        <f ca="1">IF(F20="CAD",G20,(G20*Currency!$B$2))</f>
        <v>0</v>
      </c>
    </row>
    <row r="21" spans="2:8" x14ac:dyDescent="0.35">
      <c r="H21" s="4">
        <f ca="1">SUM(H2:H20)</f>
        <v>1087012.0510000002</v>
      </c>
    </row>
  </sheetData>
  <autoFilter ref="A1:H1" xr:uid="{F744BD81-6DB1-4B58-AD9D-937BA1F33E86}"/>
  <conditionalFormatting sqref="I2:I1048576">
    <cfRule type="colorScale" priority="203">
      <colorScale>
        <cfvo type="min"/>
        <cfvo type="percentile" val="50"/>
        <cfvo type="max"/>
        <color rgb="FFF8696B"/>
        <color rgb="FFFCFCFF"/>
        <color rgb="FF63BE7B"/>
      </colorScale>
    </cfRule>
  </conditionalFormatting>
  <conditionalFormatting sqref="J2:J1048576">
    <cfRule type="colorScale" priority="205">
      <colorScale>
        <cfvo type="min"/>
        <cfvo type="percentile" val="50"/>
        <cfvo type="max"/>
        <color rgb="FFF8696B"/>
        <color rgb="FFFCFCFF"/>
        <color rgb="FF63BE7B"/>
      </colorScale>
    </cfRule>
  </conditionalFormatting>
  <conditionalFormatting sqref="K2:K16">
    <cfRule type="colorScale" priority="2048">
      <colorScale>
        <cfvo type="min"/>
        <cfvo type="percentile" val="50"/>
        <cfvo type="max"/>
        <color rgb="FFF8696B"/>
        <color rgb="FFFCFCFF"/>
        <color rgb="FF63BE7B"/>
      </colorScale>
    </cfRule>
  </conditionalFormatting>
  <conditionalFormatting sqref="L2:L16">
    <cfRule type="colorScale" priority="2049">
      <colorScale>
        <cfvo type="min"/>
        <cfvo type="percentile" val="50"/>
        <cfvo type="max"/>
        <color rgb="FFF8696B"/>
        <color rgb="FFFCFCFF"/>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C6BD-ED3D-4F37-BFAD-510201363D33}">
  <dimension ref="A1:R17"/>
  <sheetViews>
    <sheetView workbookViewId="0">
      <pane ySplit="1" topLeftCell="A2" activePane="bottomLeft" state="frozen"/>
      <selection pane="bottomLeft" activeCell="G23" sqref="G23"/>
    </sheetView>
  </sheetViews>
  <sheetFormatPr defaultRowHeight="14.5" x14ac:dyDescent="0.35"/>
  <cols>
    <col min="1" max="1" width="43.54296875" customWidth="1"/>
    <col min="2" max="2" width="7.54296875" bestFit="1" customWidth="1"/>
    <col min="3" max="3" width="10.54296875" customWidth="1"/>
    <col min="4" max="4" width="10.26953125" customWidth="1"/>
    <col min="5" max="5" width="5.1796875" customWidth="1"/>
    <col min="6" max="6" width="5.453125" bestFit="1" customWidth="1"/>
    <col min="7" max="7" width="7.1796875" customWidth="1"/>
    <col min="8" max="8" width="8.54296875" customWidth="1"/>
    <col min="9" max="9" width="8" customWidth="1"/>
    <col min="10" max="10" width="9.1796875" style="9" customWidth="1"/>
    <col min="11" max="11" width="10.453125" style="9" customWidth="1"/>
    <col min="13" max="13" width="10.81640625" style="9" customWidth="1"/>
    <col min="14" max="14" width="11" style="9" customWidth="1"/>
    <col min="15" max="15" width="11.81640625" style="2" bestFit="1" customWidth="1"/>
    <col min="16" max="17" width="10.81640625" customWidth="1"/>
    <col min="18" max="18" width="11.1796875" customWidth="1"/>
  </cols>
  <sheetData>
    <row r="1" spans="1:18" x14ac:dyDescent="0.35">
      <c r="A1" t="s">
        <v>5</v>
      </c>
      <c r="B1" t="s">
        <v>6</v>
      </c>
      <c r="C1" t="s">
        <v>7</v>
      </c>
      <c r="D1" t="s">
        <v>15</v>
      </c>
      <c r="E1" t="s">
        <v>2</v>
      </c>
      <c r="F1" t="s">
        <v>16</v>
      </c>
      <c r="G1" t="s">
        <v>8</v>
      </c>
      <c r="H1" s="3" t="s">
        <v>9</v>
      </c>
      <c r="I1" t="s">
        <v>10</v>
      </c>
      <c r="J1" s="9" t="s">
        <v>17</v>
      </c>
      <c r="K1" s="9" t="s">
        <v>18</v>
      </c>
      <c r="L1" t="s">
        <v>19</v>
      </c>
      <c r="M1" s="9" t="s">
        <v>22</v>
      </c>
      <c r="N1" s="9" t="s">
        <v>21</v>
      </c>
      <c r="O1" s="8">
        <f ca="1">WORKDAY(TODAY(),-5)</f>
        <v>46195</v>
      </c>
      <c r="P1" s="8">
        <f ca="1">WORKDAY(EDATE(TODAY(),-1),-1)</f>
        <v>46168</v>
      </c>
      <c r="Q1" s="8">
        <f ca="1">WORKDAY(EDATE(TODAY(),-3),-1)</f>
        <v>46107</v>
      </c>
      <c r="R1" s="8">
        <f ca="1">WORKDAY(EDATE(TODAY(),-12),-1)</f>
        <v>45834</v>
      </c>
    </row>
    <row r="2" spans="1:18" x14ac:dyDescent="0.35">
      <c r="A2" s="5" t="e" vm="16">
        <v>#VALUE!</v>
      </c>
      <c r="B2" s="5" t="s">
        <v>1</v>
      </c>
      <c r="C2" s="5" t="str" cm="1">
        <f t="array" aca="1" ref="C2" ca="1">_FV(A2,"Ticker symbol",TRUE)</f>
        <v>FCX</v>
      </c>
      <c r="D2" s="7">
        <v>46402</v>
      </c>
      <c r="E2" t="s">
        <v>3</v>
      </c>
      <c r="F2">
        <v>50</v>
      </c>
      <c r="G2">
        <v>-5000</v>
      </c>
      <c r="H2" s="3" cm="1">
        <f t="array" aca="1" ref="H2" ca="1">_FV(A2,"Price")</f>
        <v>62.45</v>
      </c>
      <c r="I2" t="str" cm="1">
        <f t="array" aca="1" ref="I2" ca="1">_FV(A2,"Currency")</f>
        <v>USD</v>
      </c>
      <c r="J2" s="9">
        <f t="shared" ref="J2:J17" ca="1" si="0">IF(E2="PUT",IF((H2-F2)&lt;0,(F2-H2)*G2,0),IF((H2-F2)&gt;0,(H2-F2)*G2,0))</f>
        <v>0</v>
      </c>
      <c r="K2" s="9">
        <f ca="1">IF(I2="CAD",J2,(J2*Currency!$B$2))</f>
        <v>0</v>
      </c>
      <c r="L2" s="5">
        <v>36</v>
      </c>
      <c r="M2" s="9">
        <f t="shared" ref="M2:M17" si="1">L2*-G2</f>
        <v>180000</v>
      </c>
      <c r="N2" s="9">
        <f ca="1">IF(I2="CAD",M2,(M2*Currency!$B$2))</f>
        <v>255492</v>
      </c>
      <c r="O2" s="2" cm="1">
        <f t="array" aca="1" ref="O2" ca="1">($H2 - _xlfn.STOCKHISTORY($A2, O$1,O$1,0,0,1))/$H2</f>
        <v>-0.10824659727782211</v>
      </c>
      <c r="P2" s="2" cm="1">
        <f t="array" aca="1" ref="P2" ca="1">(H2 - _xlfn.STOCKHISTORY($A2, P$1,P$1,0,0,1))/$H2</f>
        <v>-3.058446757405919E-2</v>
      </c>
      <c r="Q2" s="2" cm="1">
        <f t="array" aca="1" ref="Q2" ca="1">($H2 - _xlfn.STOCKHISTORY($A2, Q$1,Q$1,0,0,1))/$H2</f>
        <v>0.10600480384307452</v>
      </c>
      <c r="R2" s="2" cm="1">
        <f t="array" aca="1" ref="R2" ca="1">($H2 - _xlfn.STOCKHISTORY($A2, R$1,R$1,0,0,1))/$H2</f>
        <v>0.2880704563650921</v>
      </c>
    </row>
    <row r="3" spans="1:18" x14ac:dyDescent="0.35">
      <c r="A3" s="5" t="e" vm="16">
        <v>#VALUE!</v>
      </c>
      <c r="B3" s="5" t="s">
        <v>1</v>
      </c>
      <c r="C3" s="5" t="str" cm="1">
        <f t="array" aca="1" ref="C3" ca="1">_FV(A3,"Ticker symbol",TRUE)</f>
        <v>FCX</v>
      </c>
      <c r="D3" s="7">
        <v>46402</v>
      </c>
      <c r="E3" t="s">
        <v>3</v>
      </c>
      <c r="F3">
        <v>65</v>
      </c>
      <c r="G3">
        <v>2000</v>
      </c>
      <c r="H3" s="3" cm="1">
        <f t="array" aca="1" ref="H3" ca="1">_FV(A3,"Price")</f>
        <v>62.45</v>
      </c>
      <c r="I3" t="str" cm="1">
        <f t="array" aca="1" ref="I3" ca="1">_FV(A3,"Currency")</f>
        <v>USD</v>
      </c>
      <c r="J3" s="9">
        <f t="shared" ca="1" si="0"/>
        <v>5099.9999999999945</v>
      </c>
      <c r="K3" s="9">
        <f ca="1">IF(I3="CAD",J3,(J3*Currency!$B$2))</f>
        <v>7238.9399999999923</v>
      </c>
      <c r="L3" s="5">
        <f>IF(E3="PUT",IF(G3&lt;0,-F3*G3,0),0)</f>
        <v>0</v>
      </c>
      <c r="M3" s="9">
        <f t="shared" si="1"/>
        <v>0</v>
      </c>
      <c r="N3" s="9">
        <f ca="1">IF(I3="CAD",M3,(M3*Currency!$B$2))</f>
        <v>0</v>
      </c>
      <c r="O3" s="2" cm="1">
        <f t="array" aca="1" ref="O3" ca="1">($H3 - _xlfn.STOCKHISTORY($A3, O$1,O$1,0,0,1))/$H3</f>
        <v>-0.10824659727782211</v>
      </c>
      <c r="P3" s="2" cm="1">
        <f t="array" aca="1" ref="P3" ca="1">(H3 - _xlfn.STOCKHISTORY($A3, P$1,P$1,0,0,1))/$H3</f>
        <v>-3.058446757405919E-2</v>
      </c>
      <c r="Q3" s="2" cm="1">
        <f t="array" aca="1" ref="Q3" ca="1">($H3 - _xlfn.STOCKHISTORY($A3, Q$1,Q$1,0,0,1))/$H3</f>
        <v>0.10600480384307452</v>
      </c>
      <c r="R3" s="2" cm="1">
        <f t="array" aca="1" ref="R3" ca="1">($H3 - _xlfn.STOCKHISTORY($A3, R$1,R$1,0,0,1))/$H3</f>
        <v>0.2880704563650921</v>
      </c>
    </row>
    <row r="4" spans="1:18" x14ac:dyDescent="0.35">
      <c r="A4" s="5" t="e" vm="17">
        <v>#VALUE!</v>
      </c>
      <c r="B4" s="5" t="s">
        <v>1</v>
      </c>
      <c r="C4" s="5" t="str" cm="1">
        <f t="array" aca="1" ref="C4" ca="1">_FV(A4,"Ticker symbol",TRUE)</f>
        <v>HL</v>
      </c>
      <c r="D4" s="7">
        <v>46402</v>
      </c>
      <c r="E4" t="s">
        <v>3</v>
      </c>
      <c r="F4">
        <v>12</v>
      </c>
      <c r="G4">
        <v>-5000</v>
      </c>
      <c r="H4" s="3" cm="1">
        <f t="array" aca="1" ref="H4" ca="1">_FV(A4,"Price")</f>
        <v>15.54</v>
      </c>
      <c r="I4" t="str" cm="1">
        <f t="array" aca="1" ref="I4" ca="1">_FV(A4,"Currency")</f>
        <v>USD</v>
      </c>
      <c r="J4" s="9">
        <f t="shared" ca="1" si="0"/>
        <v>0</v>
      </c>
      <c r="K4" s="9">
        <f ca="1">IF(I4="CAD",J4,(J4*Currency!$B$2))</f>
        <v>0</v>
      </c>
      <c r="L4" s="5">
        <v>18</v>
      </c>
      <c r="M4" s="9">
        <f t="shared" si="1"/>
        <v>90000</v>
      </c>
      <c r="N4" s="9">
        <f ca="1">IF(I4="CAD",M4,(M4*Currency!$B$2))</f>
        <v>127746</v>
      </c>
      <c r="O4" s="2" cm="1">
        <f t="array" aca="1" ref="O4" ca="1">($H4 - _xlfn.STOCKHISTORY($A4, O$1,O$1,0,0,1))/$H4</f>
        <v>-2.8314028314028399E-2</v>
      </c>
      <c r="P4" s="2" cm="1">
        <f t="array" aca="1" ref="P4" ca="1">(H4 - _xlfn.STOCKHISTORY($A4, P$1,P$1,0,0,1))/$H4</f>
        <v>-0.13127413127413123</v>
      </c>
      <c r="Q4" s="2" cm="1">
        <f t="array" aca="1" ref="Q4" ca="1">($H4 - _xlfn.STOCKHISTORY($A4, Q$1,Q$1,0,0,1))/$H4</f>
        <v>-0.10617760617760633</v>
      </c>
      <c r="R4" s="2" cm="1">
        <f t="array" aca="1" ref="R4" ca="1">($H4 - _xlfn.STOCKHISTORY($A4, R$1,R$1,0,0,1))/$H4</f>
        <v>0.61389961389961389</v>
      </c>
    </row>
    <row r="5" spans="1:18" x14ac:dyDescent="0.35">
      <c r="A5" s="5" t="e" vm="17">
        <v>#VALUE!</v>
      </c>
      <c r="B5" s="5" t="s">
        <v>1</v>
      </c>
      <c r="C5" s="5" t="str" cm="1">
        <f t="array" aca="1" ref="C5" ca="1">_FV(A5,"Ticker symbol",TRUE)</f>
        <v>HL</v>
      </c>
      <c r="D5" s="7">
        <v>46402</v>
      </c>
      <c r="E5" t="s">
        <v>4</v>
      </c>
      <c r="F5">
        <v>20</v>
      </c>
      <c r="G5">
        <v>2500</v>
      </c>
      <c r="H5" s="3" cm="1">
        <f t="array" aca="1" ref="H5" ca="1">_FV(A5,"Price")</f>
        <v>15.54</v>
      </c>
      <c r="I5" t="str" cm="1">
        <f t="array" aca="1" ref="I5" ca="1">_FV(A5,"Currency")</f>
        <v>USD</v>
      </c>
      <c r="J5" s="9">
        <f t="shared" ca="1" si="0"/>
        <v>0</v>
      </c>
      <c r="K5" s="9">
        <f ca="1">IF(I5="CAD",J5,(J5*Currency!$B$2))</f>
        <v>0</v>
      </c>
      <c r="L5" s="5">
        <f>IF(E5="PUT",IF(G5&lt;0,-F5*G5,0),0)</f>
        <v>0</v>
      </c>
      <c r="M5" s="9">
        <f t="shared" si="1"/>
        <v>0</v>
      </c>
      <c r="N5" s="9">
        <f ca="1">IF(I5="CAD",M5,(M5*Currency!$B$2))</f>
        <v>0</v>
      </c>
      <c r="O5" s="2" cm="1">
        <f t="array" aca="1" ref="O5" ca="1">($H5 - _xlfn.STOCKHISTORY($A5, O$1,O$1,0,0,1))/$H5</f>
        <v>-2.8314028314028399E-2</v>
      </c>
      <c r="P5" s="2" cm="1">
        <f t="array" aca="1" ref="P5" ca="1">(H5 - _xlfn.STOCKHISTORY($A5, P$1,P$1,0,0,1))/$H5</f>
        <v>-0.13127413127413123</v>
      </c>
      <c r="Q5" s="2" cm="1">
        <f t="array" aca="1" ref="Q5" ca="1">($H5 - _xlfn.STOCKHISTORY($A5, Q$1,Q$1,0,0,1))/$H5</f>
        <v>-0.10617760617760633</v>
      </c>
      <c r="R5" s="2" cm="1">
        <f t="array" aca="1" ref="R5" ca="1">($H5 - _xlfn.STOCKHISTORY($A5, R$1,R$1,0,0,1))/$H5</f>
        <v>0.61389961389961389</v>
      </c>
    </row>
    <row r="6" spans="1:18" x14ac:dyDescent="0.35">
      <c r="A6" s="5" t="e" vm="18">
        <v>#VALUE!</v>
      </c>
      <c r="B6" s="5" t="s">
        <v>1</v>
      </c>
      <c r="C6" s="5" t="str" cm="1">
        <f t="array" aca="1" ref="C6" ca="1">_FV(A6,"Ticker symbol",TRUE)</f>
        <v>SLV</v>
      </c>
      <c r="D6" s="7">
        <v>46402</v>
      </c>
      <c r="E6" t="s">
        <v>3</v>
      </c>
      <c r="F6">
        <v>46</v>
      </c>
      <c r="G6">
        <v>-5000</v>
      </c>
      <c r="H6" s="3" cm="1">
        <f t="array" aca="1" ref="H6" ca="1">_FV(A6,"Price")</f>
        <v>53.28</v>
      </c>
      <c r="I6" t="str" cm="1">
        <f t="array" aca="1" ref="I6" ca="1">_FV(A6,"Currency")</f>
        <v>USD</v>
      </c>
      <c r="J6" s="9">
        <f t="shared" ca="1" si="0"/>
        <v>0</v>
      </c>
      <c r="K6" s="9">
        <f ca="1">IF(I6="CAD",J6,(J6*Currency!$B$2))</f>
        <v>0</v>
      </c>
      <c r="L6" s="5">
        <v>55.5</v>
      </c>
      <c r="M6" s="9">
        <f t="shared" si="1"/>
        <v>277500</v>
      </c>
      <c r="N6" s="9">
        <f ca="1">IF(I6="CAD",M6,(M6*Currency!$B$2))</f>
        <v>393883.5</v>
      </c>
      <c r="O6" s="2" cm="1">
        <f t="array" aca="1" ref="O6" ca="1">($H6 - _xlfn.STOCKHISTORY($A6, O$1,O$1,0,0,1))/$H6</f>
        <v>-0.10566816816816808</v>
      </c>
      <c r="P6" s="2" cm="1">
        <f t="array" aca="1" ref="P6" ca="1">(H6 - _xlfn.STOCKHISTORY($A6, P$1,P$1,0,0,1))/$H6</f>
        <v>-0.30855855855855852</v>
      </c>
      <c r="Q6" s="2" cm="1">
        <f t="array" aca="1" ref="Q6" ca="1">($H6 - _xlfn.STOCKHISTORY($A6, Q$1,Q$1,0,0,1))/$H6</f>
        <v>-0.14057807807807812</v>
      </c>
      <c r="R6" s="2" cm="1">
        <f t="array" aca="1" ref="R6" ca="1">($H6 - _xlfn.STOCKHISTORY($A6, R$1,R$1,0,0,1))/$H6</f>
        <v>0.37424924924924918</v>
      </c>
    </row>
    <row r="7" spans="1:18" x14ac:dyDescent="0.35">
      <c r="A7" s="5" t="e" vm="18">
        <v>#VALUE!</v>
      </c>
      <c r="B7" s="5" t="s">
        <v>1</v>
      </c>
      <c r="C7" s="5" t="str" cm="1">
        <f t="array" aca="1" ref="C7" ca="1">_FV(A7,"Ticker symbol",TRUE)</f>
        <v>SLV</v>
      </c>
      <c r="D7" s="7">
        <v>46402</v>
      </c>
      <c r="E7" t="s">
        <v>3</v>
      </c>
      <c r="F7">
        <v>55</v>
      </c>
      <c r="G7">
        <v>2500</v>
      </c>
      <c r="H7" s="3" cm="1">
        <f t="array" aca="1" ref="H7" ca="1">_FV(A7,"Price")</f>
        <v>53.28</v>
      </c>
      <c r="I7" t="str" cm="1">
        <f t="array" aca="1" ref="I7" ca="1">_FV(A7,"Currency")</f>
        <v>USD</v>
      </c>
      <c r="J7" s="9">
        <f t="shared" ca="1" si="0"/>
        <v>4299.9999999999973</v>
      </c>
      <c r="K7" s="9">
        <f ca="1">IF(I7="CAD",J7,(J7*Currency!$B$2))</f>
        <v>6103.4199999999964</v>
      </c>
      <c r="L7" s="5">
        <v>0</v>
      </c>
      <c r="M7" s="9">
        <f t="shared" si="1"/>
        <v>0</v>
      </c>
      <c r="N7" s="9">
        <f ca="1">IF(I7="CAD",M7,(M7*Currency!$B$2))</f>
        <v>0</v>
      </c>
      <c r="O7" s="2" cm="1">
        <f t="array" aca="1" ref="O7" ca="1">($H7 - _xlfn.STOCKHISTORY($A7, O$1,O$1,0,0,1))/$H7</f>
        <v>-0.10566816816816808</v>
      </c>
      <c r="P7" s="2" cm="1">
        <f t="array" aca="1" ref="P7" ca="1">(H7 - _xlfn.STOCKHISTORY($A7, P$1,P$1,0,0,1))/$H7</f>
        <v>-0.30855855855855852</v>
      </c>
      <c r="Q7" s="2" cm="1">
        <f t="array" aca="1" ref="Q7" ca="1">($H7 - _xlfn.STOCKHISTORY($A7, Q$1,Q$1,0,0,1))/$H7</f>
        <v>-0.14057807807807812</v>
      </c>
      <c r="R7" s="2" cm="1">
        <f t="array" aca="1" ref="R7" ca="1">($H7 - _xlfn.STOCKHISTORY($A7, R$1,R$1,0,0,1))/$H7</f>
        <v>0.37424924924924918</v>
      </c>
    </row>
    <row r="8" spans="1:18" x14ac:dyDescent="0.35">
      <c r="A8" s="5" t="e" vm="19">
        <v>#VALUE!</v>
      </c>
      <c r="B8" s="5" t="s">
        <v>1</v>
      </c>
      <c r="C8" s="5" t="str" cm="1">
        <f t="array" aca="1" ref="C8" ca="1">_FV(A8,"Ticker symbol",TRUE)</f>
        <v>AAPL</v>
      </c>
      <c r="D8" s="7">
        <v>46402</v>
      </c>
      <c r="E8" t="s">
        <v>3</v>
      </c>
      <c r="F8">
        <v>150</v>
      </c>
      <c r="G8">
        <v>1200</v>
      </c>
      <c r="H8" s="3" cm="1">
        <f t="array" aca="1" ref="H8" ca="1">_FV(A8,"Price")</f>
        <v>283.77999999999997</v>
      </c>
      <c r="I8" t="str" cm="1">
        <f t="array" aca="1" ref="I8" ca="1">_FV(A8,"Currency")</f>
        <v>USD</v>
      </c>
      <c r="J8" s="9">
        <f t="shared" ca="1" si="0"/>
        <v>0</v>
      </c>
      <c r="K8" s="9">
        <f ca="1">IF(I8="CAD",J8,(J8*Currency!$B$2))</f>
        <v>0</v>
      </c>
      <c r="L8" s="5">
        <v>0</v>
      </c>
      <c r="M8" s="9">
        <f t="shared" si="1"/>
        <v>0</v>
      </c>
      <c r="N8" s="9">
        <f ca="1">IF(I8="CAD",M8,(M8*Currency!$B$2))</f>
        <v>0</v>
      </c>
      <c r="O8" s="2" cm="1">
        <f t="array" aca="1" ref="O8" ca="1">($H8 - _xlfn.STOCKHISTORY($A8, O$1,O$1,0,0,1))/$H8</f>
        <v>-4.6620621608288178E-2</v>
      </c>
      <c r="P8" s="2" cm="1">
        <f t="array" aca="1" ref="P8" ca="1">(H8 - _xlfn.STOCKHISTORY($A8, P$1,P$1,0,0,1))/$H8</f>
        <v>-8.6510677285220994E-2</v>
      </c>
      <c r="Q8" s="2" cm="1">
        <f t="array" aca="1" ref="Q8" ca="1">($H8 - _xlfn.STOCKHISTORY($A8, Q$1,Q$1,0,0,1))/$H8</f>
        <v>0.10885192754951015</v>
      </c>
      <c r="R8" s="2" cm="1">
        <f t="array" aca="1" ref="R8" ca="1">($H8 - _xlfn.STOCKHISTORY($A8, R$1,R$1,0,0,1))/$H8</f>
        <v>0.29170484177884271</v>
      </c>
    </row>
    <row r="9" spans="1:18" x14ac:dyDescent="0.35">
      <c r="A9" s="5" t="e" vm="19">
        <v>#VALUE!</v>
      </c>
      <c r="B9" s="5" t="s">
        <v>1</v>
      </c>
      <c r="C9" s="5" t="str" cm="1">
        <f t="array" aca="1" ref="C9" ca="1">_FV(A9,"Ticker symbol",TRUE)</f>
        <v>AAPL</v>
      </c>
      <c r="D9" s="7">
        <v>46402</v>
      </c>
      <c r="E9" t="s">
        <v>3</v>
      </c>
      <c r="F9">
        <v>200</v>
      </c>
      <c r="G9">
        <v>-900</v>
      </c>
      <c r="H9" s="3" cm="1">
        <f t="array" aca="1" ref="H9" ca="1">_FV(A9,"Price")</f>
        <v>283.77999999999997</v>
      </c>
      <c r="I9" t="str" cm="1">
        <f t="array" aca="1" ref="I9" ca="1">_FV(A9,"Currency")</f>
        <v>USD</v>
      </c>
      <c r="J9" s="9">
        <f t="shared" ca="1" si="0"/>
        <v>0</v>
      </c>
      <c r="K9" s="9">
        <f ca="1">IF(I9="CAD",J9,(J9*Currency!$B$2))</f>
        <v>0</v>
      </c>
      <c r="L9" s="5">
        <v>200</v>
      </c>
      <c r="M9" s="9">
        <f t="shared" si="1"/>
        <v>180000</v>
      </c>
      <c r="N9" s="9">
        <f ca="1">IF(I9="CAD",M9,(M9*Currency!$B$2))</f>
        <v>255492</v>
      </c>
      <c r="O9" s="2" cm="1">
        <f t="array" aca="1" ref="O9" ca="1">($H9 - _xlfn.STOCKHISTORY($A9, O$1,O$1,0,0,1))/$H9</f>
        <v>-4.6620621608288178E-2</v>
      </c>
      <c r="P9" s="2" cm="1">
        <f t="array" aca="1" ref="P9" ca="1">(H9 - _xlfn.STOCKHISTORY($A9, P$1,P$1,0,0,1))/$H9</f>
        <v>-8.6510677285220994E-2</v>
      </c>
      <c r="Q9" s="2" cm="1">
        <f t="array" aca="1" ref="Q9" ca="1">($H9 - _xlfn.STOCKHISTORY($A9, Q$1,Q$1,0,0,1))/$H9</f>
        <v>0.10885192754951015</v>
      </c>
      <c r="R9" s="2" cm="1">
        <f t="array" aca="1" ref="R9" ca="1">($H9 - _xlfn.STOCKHISTORY($A9, R$1,R$1,0,0,1))/$H9</f>
        <v>0.29170484177884271</v>
      </c>
    </row>
    <row r="10" spans="1:18" x14ac:dyDescent="0.35">
      <c r="A10" s="5" t="e" vm="19">
        <v>#VALUE!</v>
      </c>
      <c r="B10" s="5" t="s">
        <v>1</v>
      </c>
      <c r="C10" s="5" t="str" cm="1">
        <f t="array" aca="1" ref="C10" ca="1">_FV(A10,"Ticker symbol",TRUE)</f>
        <v>AAPL</v>
      </c>
      <c r="D10" s="7">
        <v>46402</v>
      </c>
      <c r="E10" t="s">
        <v>3</v>
      </c>
      <c r="F10">
        <v>250</v>
      </c>
      <c r="G10">
        <v>300</v>
      </c>
      <c r="H10" s="3" cm="1">
        <f t="array" aca="1" ref="H10" ca="1">_FV(A10,"Price")</f>
        <v>283.77999999999997</v>
      </c>
      <c r="I10" t="str" cm="1">
        <f t="array" aca="1" ref="I10" ca="1">_FV(A10,"Currency")</f>
        <v>USD</v>
      </c>
      <c r="J10" s="9">
        <f t="shared" ca="1" si="0"/>
        <v>0</v>
      </c>
      <c r="K10" s="9">
        <f ca="1">IF(I10="CAD",J10,(J10*Currency!$B$2))</f>
        <v>0</v>
      </c>
      <c r="L10" s="5">
        <v>0</v>
      </c>
      <c r="M10" s="9">
        <f t="shared" si="1"/>
        <v>0</v>
      </c>
      <c r="N10" s="9">
        <f ca="1">IF(I10="CAD",M10,(M10*Currency!$B$2))</f>
        <v>0</v>
      </c>
      <c r="O10" s="2" cm="1">
        <f t="array" aca="1" ref="O10" ca="1">($H10 - _xlfn.STOCKHISTORY($A10, O$1,O$1,0,0,1))/$H10</f>
        <v>-4.6620621608288178E-2</v>
      </c>
      <c r="P10" s="2" cm="1">
        <f t="array" aca="1" ref="P10" ca="1">(H10 - _xlfn.STOCKHISTORY($A10, P$1,P$1,0,0,1))/$H10</f>
        <v>-8.6510677285220994E-2</v>
      </c>
      <c r="Q10" s="2" cm="1">
        <f t="array" aca="1" ref="Q10" ca="1">($H10 - _xlfn.STOCKHISTORY($A10, Q$1,Q$1,0,0,1))/$H10</f>
        <v>0.10885192754951015</v>
      </c>
      <c r="R10" s="2" cm="1">
        <f t="array" aca="1" ref="R10" ca="1">($H10 - _xlfn.STOCKHISTORY($A10, R$1,R$1,0,0,1))/$H10</f>
        <v>0.29170484177884271</v>
      </c>
    </row>
    <row r="11" spans="1:18" x14ac:dyDescent="0.35">
      <c r="A11" s="5" t="e" vm="20">
        <v>#VALUE!</v>
      </c>
      <c r="B11" s="5" t="s">
        <v>1</v>
      </c>
      <c r="C11" s="5" t="str" cm="1">
        <f t="array" aca="1" ref="C11" ca="1">_FV(A11,"Ticker symbol",TRUE)</f>
        <v>PAAS</v>
      </c>
      <c r="D11" s="7">
        <v>46402</v>
      </c>
      <c r="E11" t="s">
        <v>4</v>
      </c>
      <c r="F11">
        <v>60</v>
      </c>
      <c r="G11">
        <v>2000</v>
      </c>
      <c r="H11" s="3" cm="1">
        <f t="array" aca="1" ref="H11" ca="1">_FV(A11,"Price")</f>
        <v>45.45</v>
      </c>
      <c r="I11" t="str" cm="1">
        <f t="array" aca="1" ref="I11" ca="1">_FV(A11,"Currency")</f>
        <v>USD</v>
      </c>
      <c r="J11" s="9">
        <f t="shared" ca="1" si="0"/>
        <v>0</v>
      </c>
      <c r="K11" s="9">
        <f ca="1">IF(I11="CAD",J11,(J11*Currency!$B$2))</f>
        <v>0</v>
      </c>
      <c r="L11" s="5">
        <v>0</v>
      </c>
      <c r="M11" s="9">
        <f t="shared" si="1"/>
        <v>0</v>
      </c>
      <c r="N11" s="9">
        <f ca="1">IF(I11="CAD",M11,(M11*Currency!$B$2))</f>
        <v>0</v>
      </c>
      <c r="O11" s="2" cm="1">
        <f t="array" aca="1" ref="O11" ca="1">($H11 - _xlfn.STOCKHISTORY($A11, O$1,O$1,0,0,1))/$H11</f>
        <v>-7.6127612761275984E-2</v>
      </c>
      <c r="P11" s="2" cm="1">
        <f t="array" aca="1" ref="P11" ca="1">(H11 - _xlfn.STOCKHISTORY($A11, P$1,P$1,0,0,1))/$H11</f>
        <v>-0.21782178217821777</v>
      </c>
      <c r="Q11" s="2" cm="1">
        <f t="array" aca="1" ref="Q11" ca="1">($H11 - _xlfn.STOCKHISTORY($A11, Q$1,Q$1,0,0,1))/$H11</f>
        <v>-9.2409240924092306E-2</v>
      </c>
      <c r="R11" s="2" cm="1">
        <f t="array" aca="1" ref="R11" ca="1">($H11 - _xlfn.STOCKHISTORY($A11, R$1,R$1,0,0,1))/$H11</f>
        <v>0.35907590759075914</v>
      </c>
    </row>
    <row r="12" spans="1:18" x14ac:dyDescent="0.35">
      <c r="A12" s="5" t="e" vm="20">
        <v>#VALUE!</v>
      </c>
      <c r="B12" s="5" t="s">
        <v>1</v>
      </c>
      <c r="C12" s="5" t="str" cm="1">
        <f t="array" aca="1" ref="C12" ca="1">_FV(A12,"Ticker symbol",TRUE)</f>
        <v>PAAS</v>
      </c>
      <c r="D12" s="7">
        <v>46402</v>
      </c>
      <c r="E12" t="s">
        <v>4</v>
      </c>
      <c r="F12">
        <v>80</v>
      </c>
      <c r="G12">
        <v>-4000</v>
      </c>
      <c r="H12" s="3" cm="1">
        <f t="array" aca="1" ref="H12" ca="1">_FV(A12,"Price")</f>
        <v>45.45</v>
      </c>
      <c r="I12" t="str" cm="1">
        <f t="array" aca="1" ref="I12" ca="1">_FV(A12,"Currency")</f>
        <v>USD</v>
      </c>
      <c r="J12" s="9">
        <f t="shared" ca="1" si="0"/>
        <v>0</v>
      </c>
      <c r="K12" s="9">
        <f ca="1">IF(I12="CAD",J12,(J12*Currency!$B$2))</f>
        <v>0</v>
      </c>
      <c r="L12" s="5">
        <v>100</v>
      </c>
      <c r="M12" s="9">
        <f t="shared" si="1"/>
        <v>400000</v>
      </c>
      <c r="N12" s="9">
        <f ca="1">IF(I12="CAD",M12,(M12*Currency!$B$2))</f>
        <v>567760</v>
      </c>
      <c r="O12" s="2" cm="1">
        <f t="array" aca="1" ref="O12" ca="1">($H12 - _xlfn.STOCKHISTORY($A12, O$1,O$1,0,0,1))/$H12</f>
        <v>-7.6127612761275984E-2</v>
      </c>
      <c r="P12" s="2" cm="1">
        <f t="array" aca="1" ref="P12" ca="1">(H12 - _xlfn.STOCKHISTORY($A12, P$1,P$1,0,0,1))/$H12</f>
        <v>-0.21782178217821777</v>
      </c>
      <c r="Q12" s="2" cm="1">
        <f t="array" aca="1" ref="Q12" ca="1">($H12 - _xlfn.STOCKHISTORY($A12, Q$1,Q$1,0,0,1))/$H12</f>
        <v>-9.2409240924092306E-2</v>
      </c>
      <c r="R12" s="2" cm="1">
        <f t="array" aca="1" ref="R12" ca="1">($H12 - _xlfn.STOCKHISTORY($A12, R$1,R$1,0,0,1))/$H12</f>
        <v>0.35907590759075914</v>
      </c>
    </row>
    <row r="13" spans="1:18" x14ac:dyDescent="0.35">
      <c r="A13" s="5" t="e" vm="1">
        <v>#VALUE!</v>
      </c>
      <c r="B13" s="5" t="s">
        <v>1</v>
      </c>
      <c r="C13" s="5" t="str" cm="1">
        <f t="array" aca="1" ref="C13" ca="1">_FV(A13,"Ticker symbol",TRUE)</f>
        <v>SPY</v>
      </c>
      <c r="D13" s="7">
        <v>46402</v>
      </c>
      <c r="E13" t="s">
        <v>3</v>
      </c>
      <c r="F13">
        <v>580</v>
      </c>
      <c r="G13">
        <v>-1000</v>
      </c>
      <c r="H13" s="3" cm="1">
        <f t="array" aca="1" ref="H13" ca="1">_FV(A13,"Price")</f>
        <v>728.99</v>
      </c>
      <c r="I13" t="str" cm="1">
        <f t="array" aca="1" ref="I13" ca="1">_FV(A13,"Currency")</f>
        <v>USD</v>
      </c>
      <c r="J13" s="9">
        <f t="shared" ca="1" si="0"/>
        <v>0</v>
      </c>
      <c r="K13" s="9">
        <f ca="1">IF(I13="CAD",J13,(J13*Currency!$B$2))</f>
        <v>0</v>
      </c>
      <c r="L13" s="5">
        <v>0</v>
      </c>
      <c r="M13" s="9">
        <f t="shared" si="1"/>
        <v>0</v>
      </c>
      <c r="N13" s="9">
        <f ca="1">IF(I13="CAD",M13,(M13*Currency!$B$2))</f>
        <v>0</v>
      </c>
      <c r="O13" s="2" cm="1">
        <f t="array" aca="1" ref="O13" ca="1">($H13 - _xlfn.STOCKHISTORY($A13, O$1,O$1,0,0,1))/$H13</f>
        <v>-2.1125118314380138E-2</v>
      </c>
      <c r="P13" s="2" cm="1">
        <f t="array" aca="1" ref="P13" ca="1">(H13 - _xlfn.STOCKHISTORY($A13, P$1,P$1,0,0,1))/$H13</f>
        <v>-2.9630036077312478E-2</v>
      </c>
      <c r="Q13" s="2" cm="1">
        <f t="array" aca="1" ref="Q13" ca="1">($H13 - _xlfn.STOCKHISTORY($A13, Q$1,Q$1,0,0,1))/$H13</f>
        <v>0.11509074198548673</v>
      </c>
      <c r="R13" s="2" cm="1">
        <f t="array" aca="1" ref="R13" ca="1">($H13 - _xlfn.STOCKHISTORY($A13, R$1,R$1,0,0,1))/$H13</f>
        <v>0.16066064006364972</v>
      </c>
    </row>
    <row r="14" spans="1:18" x14ac:dyDescent="0.35">
      <c r="A14" s="5" t="e" vm="1">
        <v>#VALUE!</v>
      </c>
      <c r="B14" s="5" t="s">
        <v>1</v>
      </c>
      <c r="C14" s="5" t="str" cm="1">
        <f t="array" aca="1" ref="C14" ca="1">_FV(A14,"Ticker symbol",TRUE)</f>
        <v>SPY</v>
      </c>
      <c r="D14" s="7">
        <v>46465</v>
      </c>
      <c r="E14" t="s">
        <v>3</v>
      </c>
      <c r="F14">
        <v>680</v>
      </c>
      <c r="G14">
        <v>1000</v>
      </c>
      <c r="H14" s="3" cm="1">
        <f t="array" aca="1" ref="H14" ca="1">_FV(A14,"Price")</f>
        <v>728.99</v>
      </c>
      <c r="I14" t="str" cm="1">
        <f t="array" aca="1" ref="I14" ca="1">_FV(A14,"Currency")</f>
        <v>USD</v>
      </c>
      <c r="J14" s="9">
        <f t="shared" ca="1" si="0"/>
        <v>0</v>
      </c>
      <c r="K14" s="9">
        <f ca="1">IF(I14="CAD",J14,(J14*Currency!$B$2))</f>
        <v>0</v>
      </c>
      <c r="L14" s="5">
        <v>0</v>
      </c>
      <c r="M14" s="9">
        <f t="shared" si="1"/>
        <v>0</v>
      </c>
      <c r="N14" s="9">
        <f ca="1">IF(I14="CAD",M14,(M14*Currency!$B$2))</f>
        <v>0</v>
      </c>
      <c r="O14" s="2" cm="1">
        <f t="array" aca="1" ref="O14" ca="1">($H14 - _xlfn.STOCKHISTORY($A14, O$1,O$1,0,0,1))/$H14</f>
        <v>-2.1125118314380138E-2</v>
      </c>
      <c r="P14" s="2" cm="1">
        <f t="array" aca="1" ref="P14" ca="1">(H14 - _xlfn.STOCKHISTORY($A14, P$1,P$1,0,0,1))/$H14</f>
        <v>-2.9630036077312478E-2</v>
      </c>
      <c r="Q14" s="2" cm="1">
        <f t="array" aca="1" ref="Q14" ca="1">($H14 - _xlfn.STOCKHISTORY($A14, Q$1,Q$1,0,0,1))/$H14</f>
        <v>0.11509074198548673</v>
      </c>
      <c r="R14" s="2" cm="1">
        <f t="array" aca="1" ref="R14" ca="1">($H14 - _xlfn.STOCKHISTORY($A14, R$1,R$1,0,0,1))/$H14</f>
        <v>0.16066064006364972</v>
      </c>
    </row>
    <row r="15" spans="1:18" ht="26" x14ac:dyDescent="0.35">
      <c r="A15" s="5" t="e" vm="21">
        <v>#VALUE!</v>
      </c>
      <c r="B15" s="5" t="s">
        <v>1</v>
      </c>
      <c r="C15" s="5" t="str" cm="1">
        <f t="array" aca="1" ref="C15" ca="1">_FV(A15,"Ticker symbol",TRUE)</f>
        <v>TRI</v>
      </c>
      <c r="D15" s="7">
        <v>46402</v>
      </c>
      <c r="E15" t="s">
        <v>3</v>
      </c>
      <c r="F15">
        <v>120</v>
      </c>
      <c r="G15">
        <v>-100</v>
      </c>
      <c r="H15" s="3" cm="1">
        <f t="array" aca="1" ref="H15" ca="1">_FV(A15,"Price")</f>
        <v>119.04</v>
      </c>
      <c r="I15" t="str" cm="1">
        <f t="array" aca="1" ref="I15" ca="1">_FV(A15,"Currency")</f>
        <v>CAD</v>
      </c>
      <c r="J15" s="9">
        <f t="shared" ca="1" si="0"/>
        <v>-95.999999999999375</v>
      </c>
      <c r="K15" s="9">
        <f ca="1">IF(I15="CAD",J15,(J15*Currency!$B$2))</f>
        <v>-95.999999999999375</v>
      </c>
      <c r="L15" s="5">
        <v>120</v>
      </c>
      <c r="M15" s="9">
        <f t="shared" si="1"/>
        <v>12000</v>
      </c>
      <c r="N15" s="9">
        <f ca="1">IF(I15="CAD",M15,(M15*Currency!$B$2))</f>
        <v>12000</v>
      </c>
      <c r="O15" s="2" cm="1">
        <f t="array" aca="1" ref="O15" ca="1">($H15 - _xlfn.STOCKHISTORY($A15, O$1,O$1,0,0,1))/$H15</f>
        <v>8.8541666666666713E-2</v>
      </c>
      <c r="P15" s="2" cm="1">
        <f t="array" aca="1" ref="P15" ca="1">(H15 - _xlfn.STOCKHISTORY($A15, P$1,P$1,0,0,1))/$H15</f>
        <v>2.89818548387097E-2</v>
      </c>
      <c r="Q15" s="2" cm="1">
        <f t="array" aca="1" ref="Q15" ca="1">($H15 - _xlfn.STOCKHISTORY($A15, Q$1,Q$1,0,0,1))/$H15</f>
        <v>-5.3091397849462305E-2</v>
      </c>
      <c r="R15" s="2" cm="1">
        <f t="array" aca="1" ref="R15" ca="1">($H15 - _xlfn.STOCKHISTORY($A15, R$1,R$1,0,0,1))/$H15</f>
        <v>-1.2585685483870968</v>
      </c>
    </row>
    <row r="16" spans="1:18" x14ac:dyDescent="0.35">
      <c r="A16" s="5" t="e" vm="22">
        <v>#VALUE!</v>
      </c>
      <c r="B16" s="5" t="s">
        <v>1</v>
      </c>
      <c r="C16" s="5" t="str" cm="1">
        <f t="array" aca="1" ref="C16" ca="1">_FV(A16,"Ticker symbol",TRUE)</f>
        <v>TSLA</v>
      </c>
      <c r="D16" s="7">
        <v>46402</v>
      </c>
      <c r="E16" t="s">
        <v>3</v>
      </c>
      <c r="F16">
        <v>300</v>
      </c>
      <c r="G16">
        <v>-400</v>
      </c>
      <c r="H16" s="3" cm="1">
        <f t="array" aca="1" ref="H16" ca="1">_FV(A16,"Price")</f>
        <v>379.71</v>
      </c>
      <c r="I16" t="str" cm="1">
        <f t="array" aca="1" ref="I16" ca="1">_FV(A16,"Currency")</f>
        <v>USD</v>
      </c>
      <c r="J16" s="9">
        <f t="shared" ca="1" si="0"/>
        <v>0</v>
      </c>
      <c r="K16" s="9">
        <f ca="1">IF(I16="CAD",J16,(J16*Currency!$B$2))</f>
        <v>0</v>
      </c>
      <c r="L16" s="5">
        <v>0</v>
      </c>
      <c r="M16" s="9">
        <f t="shared" si="1"/>
        <v>0</v>
      </c>
      <c r="N16" s="9">
        <f ca="1">IF(I16="CAD",M16,(M16*Currency!$B$2))</f>
        <v>0</v>
      </c>
      <c r="O16" s="2" cm="1">
        <f t="array" aca="1" ref="O16" ca="1">($H16 - _xlfn.STOCKHISTORY($A16, O$1,O$1,0,0,1))/$H16</f>
        <v>-6.6735139975244356E-2</v>
      </c>
      <c r="P16" s="2" cm="1">
        <f t="array" aca="1" ref="P16" ca="1">(H16 - _xlfn.STOCKHISTORY($A16, P$1,P$1,0,0,1))/$H16</f>
        <v>-0.14189776408311605</v>
      </c>
      <c r="Q16" s="2" cm="1">
        <f t="array" aca="1" ref="Q16" ca="1">($H16 - _xlfn.STOCKHISTORY($A16, Q$1,Q$1,0,0,1))/$H16</f>
        <v>2.0015274814990297E-2</v>
      </c>
      <c r="R16" s="2" cm="1">
        <f t="array" aca="1" ref="R16" ca="1">($H16 - _xlfn.STOCKHISTORY($A16, R$1,R$1,0,0,1))/$H16</f>
        <v>0.1420294435226884</v>
      </c>
    </row>
    <row r="17" spans="1:18" x14ac:dyDescent="0.35">
      <c r="A17" s="5" t="e" vm="22">
        <v>#VALUE!</v>
      </c>
      <c r="B17" s="5" t="s">
        <v>1</v>
      </c>
      <c r="C17" s="5" t="str" cm="1">
        <f t="array" aca="1" ref="C17" ca="1">_FV(A17,"Ticker symbol",TRUE)</f>
        <v>TSLA</v>
      </c>
      <c r="D17" s="7">
        <v>46402</v>
      </c>
      <c r="E17" t="s">
        <v>3</v>
      </c>
      <c r="F17">
        <v>400</v>
      </c>
      <c r="G17">
        <v>200</v>
      </c>
      <c r="H17" s="3" cm="1">
        <f t="array" aca="1" ref="H17" ca="1">_FV(A17,"Price")</f>
        <v>379.71</v>
      </c>
      <c r="I17" t="str" cm="1">
        <f t="array" aca="1" ref="I17" ca="1">_FV(A17,"Currency")</f>
        <v>USD</v>
      </c>
      <c r="J17" s="9">
        <f t="shared" ca="1" si="0"/>
        <v>4058.0000000000041</v>
      </c>
      <c r="K17" s="9">
        <f ca="1">IF(I17="CAD",J17,(J17*Currency!$B$2))</f>
        <v>5759.925200000006</v>
      </c>
      <c r="L17" s="5">
        <v>0</v>
      </c>
      <c r="M17" s="9">
        <f t="shared" si="1"/>
        <v>0</v>
      </c>
      <c r="N17" s="9">
        <f ca="1">IF(I17="CAD",M17,(M17*Currency!$B$2))</f>
        <v>0</v>
      </c>
      <c r="O17" s="2" cm="1">
        <f t="array" aca="1" ref="O17" ca="1">($H17 - _xlfn.STOCKHISTORY($A17, O$1,O$1,0,0,1))/$H17</f>
        <v>-6.6735139975244356E-2</v>
      </c>
      <c r="P17" s="2" cm="1">
        <f t="array" aca="1" ref="P17" ca="1">(H17 - _xlfn.STOCKHISTORY($A17, P$1,P$1,0,0,1))/$H17</f>
        <v>-0.14189776408311605</v>
      </c>
      <c r="Q17" s="2" cm="1">
        <f t="array" aca="1" ref="Q17" ca="1">($H17 - _xlfn.STOCKHISTORY($A17, Q$1,Q$1,0,0,1))/$H17</f>
        <v>2.0015274814990297E-2</v>
      </c>
      <c r="R17" s="2" cm="1">
        <f t="array" aca="1" ref="R17" ca="1">($H17 - _xlfn.STOCKHISTORY($A17, R$1,R$1,0,0,1))/$H17</f>
        <v>0.1420294435226884</v>
      </c>
    </row>
  </sheetData>
  <autoFilter ref="A1:K5" xr:uid="{C27FC6BD-ED3D-4F37-BFAD-510201363D33}"/>
  <sortState xmlns:xlrd2="http://schemas.microsoft.com/office/spreadsheetml/2017/richdata2" ref="A8:R17">
    <sortCondition ref="B8:B17"/>
    <sortCondition ref="C8:C17"/>
    <sortCondition ref="D8:D17"/>
    <sortCondition ref="F8:F17"/>
  </sortState>
  <phoneticPr fontId="2" type="noConversion"/>
  <conditionalFormatting sqref="O2:O1048576">
    <cfRule type="colorScale" priority="2050">
      <colorScale>
        <cfvo type="min"/>
        <cfvo type="percentile" val="50"/>
        <cfvo type="max"/>
        <color rgb="FFF8696B"/>
        <color rgb="FFFCFCFF"/>
        <color rgb="FF63BE7B"/>
      </colorScale>
    </cfRule>
  </conditionalFormatting>
  <conditionalFormatting sqref="P2:P17">
    <cfRule type="colorScale" priority="2096">
      <colorScale>
        <cfvo type="min"/>
        <cfvo type="percentile" val="50"/>
        <cfvo type="max"/>
        <color rgb="FFF8696B"/>
        <color rgb="FFFCFCFF"/>
        <color rgb="FF63BE7B"/>
      </colorScale>
    </cfRule>
  </conditionalFormatting>
  <conditionalFormatting sqref="Q2:Q17">
    <cfRule type="colorScale" priority="2098">
      <colorScale>
        <cfvo type="min"/>
        <cfvo type="percentile" val="50"/>
        <cfvo type="max"/>
        <color rgb="FFF8696B"/>
        <color rgb="FFFCFCFF"/>
        <color rgb="FF63BE7B"/>
      </colorScale>
    </cfRule>
  </conditionalFormatting>
  <conditionalFormatting sqref="R2:R17">
    <cfRule type="colorScale" priority="2100">
      <colorScale>
        <cfvo type="min"/>
        <cfvo type="percentile" val="50"/>
        <cfvo type="max"/>
        <color rgb="FFF8696B"/>
        <color rgb="FFFCFCFF"/>
        <color rgb="FF63BE7B"/>
      </colorScale>
    </cfRule>
  </conditionalFormatting>
  <dataValidations count="2">
    <dataValidation type="list" allowBlank="1" showInputMessage="1" showErrorMessage="1" sqref="E1:E1048576" xr:uid="{388CC8A0-E81B-466B-B9AB-96B8427AB16E}">
      <formula1>"PUT, CALL"</formula1>
    </dataValidation>
    <dataValidation type="list" allowBlank="1" showInputMessage="1" showErrorMessage="1" sqref="B1:B1048576" xr:uid="{3FB556AC-2502-4327-83DD-EB96106CEEED}">
      <formula1>"TD,HSBC,CIBC,RBC"</formula1>
    </dataValidation>
  </dataValidations>
  <pageMargins left="0.7" right="0.7" top="0.75" bottom="0.75" header="0.3" footer="0.3"/>
  <pageSetup fitToWidth="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C18EA-5749-42AD-8930-BF2B813C4264}">
  <dimension ref="A1:K122"/>
  <sheetViews>
    <sheetView workbookViewId="0">
      <pane ySplit="1" topLeftCell="A2" activePane="bottomLeft" state="frozen"/>
      <selection pane="bottomLeft" activeCell="P13" sqref="P13"/>
    </sheetView>
  </sheetViews>
  <sheetFormatPr defaultRowHeight="14.5" x14ac:dyDescent="0.35"/>
  <cols>
    <col min="1" max="1" width="15.1796875" customWidth="1"/>
    <col min="2" max="2" width="13.453125" customWidth="1"/>
    <col min="4" max="4" width="11.81640625" style="2" bestFit="1" customWidth="1"/>
    <col min="5" max="5" width="11" customWidth="1"/>
    <col min="6" max="6" width="10.81640625" customWidth="1"/>
    <col min="7" max="7" width="12.1796875" customWidth="1"/>
    <col min="8" max="8" width="12" customWidth="1"/>
    <col min="9" max="10" width="11.81640625" customWidth="1"/>
    <col min="11" max="11" width="11.453125" customWidth="1"/>
  </cols>
  <sheetData>
    <row r="1" spans="1:11" x14ac:dyDescent="0.35">
      <c r="A1" t="s">
        <v>10</v>
      </c>
      <c r="B1" t="s">
        <v>9</v>
      </c>
      <c r="C1" t="s">
        <v>20</v>
      </c>
      <c r="D1" s="8">
        <f ca="1">WORKDAY(TODAY(),-5)</f>
        <v>46195</v>
      </c>
      <c r="E1" s="8">
        <f ca="1">WORKDAY(EDATE(TODAY(),-1),-1)</f>
        <v>46168</v>
      </c>
      <c r="F1" s="8">
        <f ca="1">WORKDAY(EDATE(TODAY(),-3),-1)</f>
        <v>46107</v>
      </c>
      <c r="G1" s="8">
        <f ca="1">WORKDAY(EDATE(TODAY(),-12),-1)</f>
        <v>45834</v>
      </c>
      <c r="H1" s="8">
        <f ca="1">WORKDAY(EDATE(TODAY(),-18),-1)</f>
        <v>45652</v>
      </c>
      <c r="I1" s="8">
        <f ca="1">WORKDAY(EDATE(TODAY(),-24),-1)</f>
        <v>45469</v>
      </c>
      <c r="J1" s="8">
        <f ca="1">WORKDAY(EDATE(TODAY(),-36),-1)</f>
        <v>45103</v>
      </c>
      <c r="K1" s="8">
        <f ca="1">WORKDAY(EDATE(TODAY(),-48),-1)</f>
        <v>44736</v>
      </c>
    </row>
    <row r="2" spans="1:11" ht="14.15" customHeight="1" x14ac:dyDescent="0.35">
      <c r="A2" t="e" vm="23">
        <v>#VALUE!</v>
      </c>
      <c r="B2" s="1" cm="1">
        <f t="array" aca="1" ref="B2" ca="1">_FV(A2,"Price")</f>
        <v>1.4194</v>
      </c>
      <c r="C2" s="2" cm="1">
        <f t="array" aca="1" ref="C2" ca="1">_FV(A2,"Change (%)",TRUE)</f>
        <v>-2.8170000000000002E-4</v>
      </c>
      <c r="D2" s="2" cm="1">
        <f t="array" aca="1" ref="D2" ca="1">($B2 - _xlfn.STOCKHISTORY($A2, D$1,D$1,0,0,1))/$B2</f>
        <v>2.6771875440327079E-3</v>
      </c>
      <c r="E2" s="2" cm="1">
        <f t="array" aca="1" ref="E2" ca="1">($B2 - _xlfn.STOCKHISTORY($A2, E$1,E$1,0,0,1))/$B2</f>
        <v>2.7124136959278553E-2</v>
      </c>
      <c r="F2" s="2" cm="1">
        <f t="array" aca="1" ref="F2" ca="1">($B2 - _xlfn.STOCKHISTORY($A2, F$1,F$1,0,0,1))/$B2</f>
        <v>2.3671974073552256E-2</v>
      </c>
      <c r="G2" s="2" cm="1">
        <f t="array" aca="1" ref="G2" ca="1">($B2 - _xlfn.STOCKHISTORY($A2, G$1,G$1,0,0,1))/$B2</f>
        <v>3.9030576299844931E-2</v>
      </c>
      <c r="H2" s="2" cm="1">
        <f t="array" aca="1" ref="H2" ca="1">($B2 - _xlfn.STOCKHISTORY($A2, H$1,H$1,0,0,1))/$B2</f>
        <v>-1.5006340707341198E-2</v>
      </c>
      <c r="I2" s="2" cm="1">
        <f t="array" aca="1" ref="I2" ca="1">($B2 - _xlfn.STOCKHISTORY($A2, I$1,I$1,0,0,1))/$B2</f>
        <v>3.4803438072424892E-2</v>
      </c>
      <c r="J2" s="2" cm="1">
        <f t="array" aca="1" ref="J2" ca="1">($B2 - _xlfn.STOCKHISTORY($A2, J$1,J$1,0,0,1))/$B2</f>
        <v>7.3340848245737694E-2</v>
      </c>
      <c r="K2" s="2" cm="1">
        <f t="array" aca="1" ref="K2" ca="1">($B2 - _xlfn.STOCKHISTORY($A2, K$1,K$1,0,0,1))/$B2</f>
        <v>9.165844723122453E-2</v>
      </c>
    </row>
    <row r="3" spans="1:11" x14ac:dyDescent="0.35">
      <c r="A3" t="e" vm="24">
        <v>#VALUE!</v>
      </c>
      <c r="B3" s="1" cm="1">
        <f t="array" aca="1" ref="B3" ca="1">_FV(A3,"Price")</f>
        <v>59917.63</v>
      </c>
      <c r="C3" s="2" cm="1">
        <f t="array" aca="1" ref="C3" ca="1">_FV(A3,"Change (%)",TRUE)</f>
        <v>1.0198E-2</v>
      </c>
      <c r="D3" s="2" cm="1">
        <f t="array" aca="1" ref="D3" ca="1">($B3 - _xlfn.STOCKHISTORY($A3, D$1,D$1,0,0,1))/$B3</f>
        <v>-7.4390459035178852E-2</v>
      </c>
      <c r="E3" s="2" cm="1">
        <f t="array" aca="1" ref="E3" ca="1">($B3 - _xlfn.STOCKHISTORY($A3, E$1,E$1,0,0,1))/$B3</f>
        <v>-0.26872191039598864</v>
      </c>
      <c r="F3" s="2" cm="1">
        <f t="array" aca="1" ref="F3" ca="1">($B3 - _xlfn.STOCKHISTORY($A3, F$1,F$1,0,0,1))/$B3</f>
        <v>-0.15105353799874924</v>
      </c>
      <c r="G3" s="2" cm="1">
        <f t="array" aca="1" ref="G3" ca="1">($B3 - _xlfn.STOCKHISTORY($A3, G$1,G$1,0,0,1))/$B3</f>
        <v>-0.79929212821001117</v>
      </c>
      <c r="H3" s="2" cm="1">
        <f t="array" aca="1" ref="H3" ca="1">($B3 - _xlfn.STOCKHISTORY($A3, H$1,H$1,0,0,1))/$B3</f>
        <v>-0.59707585229923155</v>
      </c>
      <c r="I3" s="2" cm="1">
        <f t="array" aca="1" ref="I3" ca="1">($B3 - _xlfn.STOCKHISTORY($A3, I$1,I$1,0,0,1))/$B3</f>
        <v>-1.7229820338354549E-2</v>
      </c>
      <c r="J3" s="2" cm="1">
        <f t="array" aca="1" ref="J3" ca="1">($B3 - _xlfn.STOCKHISTORY($A3, J$1,J$1,0,0,1))/$B3</f>
        <v>0.4966589966926262</v>
      </c>
      <c r="K3" s="2" cm="1">
        <f t="array" aca="1" ref="K3" ca="1">($B3 - _xlfn.STOCKHISTORY($A3, K$1,K$1,0,0,1))/$B3</f>
        <v>0.64666075744317653</v>
      </c>
    </row>
    <row r="4" spans="1:11" x14ac:dyDescent="0.35">
      <c r="A4" t="e" vm="25">
        <v>#VALUE!</v>
      </c>
      <c r="B4" s="1" cm="1">
        <f t="array" aca="1" ref="B4" ca="1">_FV(A4,"Price")</f>
        <v>1568.55</v>
      </c>
      <c r="C4" s="2" cm="1">
        <f t="array" aca="1" ref="C4" ca="1">_FV(A4,"Change (%)",TRUE)</f>
        <v>1.1302000000000001E-2</v>
      </c>
      <c r="D4" s="2" cm="1">
        <f t="array" aca="1" ref="D4" ca="1">($B4 - _xlfn.STOCKHISTORY($A4, D$1,D$1,0,0,1))/$B4</f>
        <v>-0.10488030346498359</v>
      </c>
      <c r="E4" s="2" cm="1">
        <f t="array" aca="1" ref="E4" ca="1">($B4 - _xlfn.STOCKHISTORY($A4, E$1,E$1,0,0,1))/$B4</f>
        <v>-0.32341334353383711</v>
      </c>
      <c r="F4" s="2" cm="1">
        <f t="array" aca="1" ref="F4" ca="1">($B4 - _xlfn.STOCKHISTORY($A4, F$1,F$1,0,0,1))/$B4</f>
        <v>-0.31539319753912864</v>
      </c>
      <c r="G4" s="2" cm="1">
        <f t="array" aca="1" ref="G4" ca="1">($B4 - _xlfn.STOCKHISTORY($A4, G$1,G$1,0,0,1))/$B4</f>
        <v>-0.55974626247170955</v>
      </c>
      <c r="H4" s="2" cm="1">
        <f t="array" aca="1" ref="H4" ca="1">($B4 - _xlfn.STOCKHISTORY($A4, H$1,H$1,0,0,1))/$B4</f>
        <v>-1.1247011571196328</v>
      </c>
      <c r="I4" s="2" cm="1">
        <f t="array" aca="1" ref="I4" ca="1">($B4 - _xlfn.STOCKHISTORY($A4, I$1,I$1,0,0,1))/$B4</f>
        <v>-1.1609766982244749</v>
      </c>
      <c r="J4" s="2" cm="1">
        <f t="array" aca="1" ref="J4" ca="1">($B4 - _xlfn.STOCKHISTORY($A4, J$1,J$1,0,0,1))/$B4</f>
        <v>-0.18026202543750597</v>
      </c>
      <c r="K4" s="2" cm="1">
        <f t="array" aca="1" ref="K4" ca="1">($B4 - _xlfn.STOCKHISTORY($A4, K$1,K$1,0,0,1))/$B4</f>
        <v>0.2237225463007235</v>
      </c>
    </row>
    <row r="5" spans="1:11" x14ac:dyDescent="0.35">
      <c r="A5" t="e" vm="26">
        <v>#VALUE!</v>
      </c>
      <c r="B5" s="1" cm="1">
        <f t="array" aca="1" ref="B5" ca="1">_FV(A5,"Price")</f>
        <v>0.87829999999999997</v>
      </c>
      <c r="C5" s="2" cm="1">
        <f t="array" aca="1" ref="C5" ca="1">_FV(A5,"Change (%)",TRUE)</f>
        <v>-1.364E-3</v>
      </c>
      <c r="D5" s="2" cm="1">
        <f t="array" aca="1" ref="D5" ca="1">($B5 - _xlfn.STOCKHISTORY($A5, D$1,D$1,0,0,1))/$B5</f>
        <v>3.871114653307479E-3</v>
      </c>
      <c r="E5" s="2" cm="1">
        <f t="array" aca="1" ref="E5" ca="1">($B5 - _xlfn.STOCKHISTORY($A5, E$1,E$1,0,0,1))/$B5</f>
        <v>2.1177274279858761E-2</v>
      </c>
      <c r="F5" s="2" cm="1">
        <f t="array" aca="1" ref="F5" ca="1">($B5 - _xlfn.STOCKHISTORY($A5, F$1,F$1,0,0,1))/$B5</f>
        <v>1.2524194466583184E-2</v>
      </c>
      <c r="G5" s="2" cm="1">
        <f t="array" aca="1" ref="G5" ca="1">($B5 - _xlfn.STOCKHISTORY($A5, G$1,G$1,0,0,1))/$B5</f>
        <v>2.6983946259820042E-2</v>
      </c>
      <c r="H5" s="2" cm="1">
        <f t="array" aca="1" ref="H5" ca="1">($B5 - _xlfn.STOCKHISTORY($A5, H$1,H$1,0,0,1))/$B5</f>
        <v>-9.2223613799385262E-2</v>
      </c>
      <c r="I5" s="2" cm="1">
        <f t="array" aca="1" ref="I5" ca="1">($B5 - _xlfn.STOCKHISTORY($A5, I$1,I$1,0,0,1))/$B5</f>
        <v>-6.5922805419560582E-2</v>
      </c>
      <c r="J5" s="2" cm="1">
        <f t="array" aca="1" ref="J5" ca="1">($B5 - _xlfn.STOCKHISTORY($A5, J$1,J$1,0,0,1))/$B5</f>
        <v>-4.3834680633041079E-2</v>
      </c>
      <c r="K5" s="2" cm="1">
        <f t="array" aca="1" ref="K5" ca="1">($B5 - _xlfn.STOCKHISTORY($A5, K$1,K$1,0,0,1))/$B5</f>
        <v>-7.8333143572811209E-2</v>
      </c>
    </row>
    <row r="6" spans="1:11" x14ac:dyDescent="0.35">
      <c r="A6" t="e" vm="27">
        <v>#VALUE!</v>
      </c>
      <c r="B6" s="1" cm="1">
        <f t="array" aca="1" ref="B6" ca="1">_FV(A6,"Price")</f>
        <v>161.72999999999999</v>
      </c>
      <c r="C6" s="2" cm="1">
        <f t="array" aca="1" ref="C6" ca="1">_FV(A6,"Change (%)",TRUE)</f>
        <v>-3.0909999999999998E-4</v>
      </c>
      <c r="D6" s="2" cm="1">
        <f t="array" aca="1" ref="D6" ca="1">($B6 - _xlfn.STOCKHISTORY($A6, D$1,D$1,0,0,1))/$B6</f>
        <v>1.174797502009508E-3</v>
      </c>
      <c r="E6" s="2" cm="1">
        <f t="array" aca="1" ref="E6" ca="1">($B6 - _xlfn.STOCKHISTORY($A6, E$1,E$1,0,0,1))/$B6</f>
        <v>1.5086873183701218E-2</v>
      </c>
      <c r="F6" s="2" cm="1">
        <f t="array" aca="1" ref="F6" ca="1">($B6 - _xlfn.STOCKHISTORY($A6, F$1,F$1,0,0,1))/$B6</f>
        <v>1.1933469362517643E-2</v>
      </c>
      <c r="G6" s="2" cm="1">
        <f t="array" aca="1" ref="G6" ca="1">($B6 - _xlfn.STOCKHISTORY($A6, G$1,G$1,0,0,1))/$B6</f>
        <v>0.10733939281518572</v>
      </c>
      <c r="H6" s="2" cm="1">
        <f t="array" aca="1" ref="H6" ca="1">($B6 - _xlfn.STOCKHISTORY($A6, H$1,H$1,0,0,1))/$B6</f>
        <v>2.3063129907871082E-2</v>
      </c>
      <c r="I6" s="2" cm="1">
        <f t="array" aca="1" ref="I6" ca="1">($B6 - _xlfn.STOCKHISTORY($A6, I$1,I$1,0,0,1))/$B6</f>
        <v>5.8121560625734115E-3</v>
      </c>
      <c r="J6" s="2" cm="1">
        <f t="array" aca="1" ref="J6" ca="1">($B6 - _xlfn.STOCKHISTORY($A6, J$1,J$1,0,0,1))/$B6</f>
        <v>0.11271872874543988</v>
      </c>
      <c r="K6" s="2" cm="1">
        <f t="array" aca="1" ref="K6" ca="1">($B6 - _xlfn.STOCKHISTORY($A6, K$1,K$1,0,0,1))/$B6</f>
        <v>0.16422432449143637</v>
      </c>
    </row>
    <row r="7" spans="1:11" x14ac:dyDescent="0.35">
      <c r="A7" t="e" vm="28">
        <v>#VALUE!</v>
      </c>
      <c r="B7" s="1" cm="1">
        <f t="array" aca="1" ref="B7" ca="1">_FV(A7,"Price")</f>
        <v>6.798</v>
      </c>
      <c r="C7" s="2" cm="1">
        <f t="array" aca="1" ref="C7" ca="1">_FV(A7,"Change (%)",TRUE)</f>
        <v>5.8840000000000006E-5</v>
      </c>
      <c r="D7" s="2" cm="1">
        <f t="array" aca="1" ref="D7" ca="1">($B7 - _xlfn.STOCKHISTORY($A7, D$1,D$1,0,0,1))/$B7</f>
        <v>3.4568990879670931E-3</v>
      </c>
      <c r="E7" s="2" cm="1">
        <f t="array" aca="1" ref="E7" ca="1">($B7 - _xlfn.STOCKHISTORY($A7, E$1,E$1,0,0,1))/$B7</f>
        <v>1.7652250661960068E-3</v>
      </c>
      <c r="F7" s="2" cm="1">
        <f t="array" aca="1" ref="F7" ca="1">($B7 - _xlfn.STOCKHISTORY($A7, F$1,F$1,0,0,1))/$B7</f>
        <v>-1.6578405413356905E-2</v>
      </c>
      <c r="G7" s="2" cm="1">
        <f t="array" aca="1" ref="G7" ca="1">($B7 - _xlfn.STOCKHISTORY($A7, G$1,G$1,0,0,1))/$B7</f>
        <v>-5.4295380994410052E-2</v>
      </c>
      <c r="H7" s="2" cm="1">
        <f t="array" aca="1" ref="H7" ca="1">($B7 - _xlfn.STOCKHISTORY($A7, H$1,H$1,0,0,1))/$B7</f>
        <v>-7.3565754633715758E-2</v>
      </c>
      <c r="I7" s="2" cm="1">
        <f t="array" aca="1" ref="I7" ca="1">($B7 - _xlfn.STOCKHISTORY($A7, I$1,I$1,0,0,1))/$B7</f>
        <v>-6.8932038834951512E-2</v>
      </c>
      <c r="J7" s="2" cm="1">
        <f t="array" aca="1" ref="J7" ca="1">($B7 - _xlfn.STOCKHISTORY($A7, J$1,J$1,0,0,1))/$B7</f>
        <v>-6.448955575169163E-2</v>
      </c>
      <c r="K7" s="2" cm="1">
        <f t="array" aca="1" ref="K7" ca="1">($B7 - _xlfn.STOCKHISTORY($A7, K$1,K$1,0,0,1))/$B7</f>
        <v>1.6210650191232693E-2</v>
      </c>
    </row>
    <row r="8" spans="1:11" x14ac:dyDescent="0.35">
      <c r="A8" t="e" vm="29">
        <v>#VALUE!</v>
      </c>
      <c r="B8" s="1" cm="1">
        <f t="array" aca="1" ref="B8" ca="1">_FV(A8,"Price")</f>
        <v>46.614600000000003</v>
      </c>
      <c r="C8" s="2" cm="1">
        <f t="array" aca="1" ref="C8" ca="1">_FV(A8,"Change (%)",TRUE)</f>
        <v>2.3649999999999999E-3</v>
      </c>
      <c r="D8" s="2" cm="1">
        <f t="array" aca="1" ref="D8" ca="1">($B8 - _xlfn.STOCKHISTORY($A8, D$1,D$1,0,0,1))/$B8</f>
        <v>3.295104967113402E-3</v>
      </c>
      <c r="E8" s="2" cm="1">
        <f t="array" aca="1" ref="E8" ca="1">($B8 - _xlfn.STOCKHISTORY($A8, E$1,E$1,0,0,1))/$B8</f>
        <v>1.575257537338097E-2</v>
      </c>
      <c r="F8" s="2" cm="1">
        <f t="array" aca="1" ref="F8" ca="1">($B8 - _xlfn.STOCKHISTORY($A8, F$1,F$1,0,0,1))/$B8</f>
        <v>4.9134820421069904E-2</v>
      </c>
      <c r="G8" s="2" cm="1">
        <f t="array" aca="1" ref="G8" ca="1">($B8 - _xlfn.STOCKHISTORY($A8, G$1,G$1,0,0,1))/$B8</f>
        <v>0.1474816902858761</v>
      </c>
      <c r="H8" s="2" cm="1">
        <f t="array" aca="1" ref="H8" ca="1">($B8 - _xlfn.STOCKHISTORY($A8, H$1,H$1,0,0,1))/$B8</f>
        <v>0.24633912980053466</v>
      </c>
      <c r="I8" s="2" cm="1">
        <f t="array" aca="1" ref="I8" ca="1">($B8 - _xlfn.STOCKHISTORY($A8, I$1,I$1,0,0,1))/$B8</f>
        <v>0.2955447434923823</v>
      </c>
      <c r="J8" s="2" cm="1">
        <f t="array" aca="1" ref="J8" ca="1">($B8 - _xlfn.STOCKHISTORY($A8, J$1,J$1,0,0,1))/$B8</f>
        <v>0.44408618758929613</v>
      </c>
      <c r="K8" s="2" cm="1">
        <f t="array" aca="1" ref="K8" ca="1">($B8 - _xlfn.STOCKHISTORY($A8, K$1,K$1,0,0,1))/$B8</f>
        <v>0.63775297868049929</v>
      </c>
    </row>
    <row r="9" spans="1:11" x14ac:dyDescent="0.35">
      <c r="A9" t="e" vm="30">
        <v>#VALUE!</v>
      </c>
      <c r="B9" s="1" cm="1">
        <f t="array" aca="1" ref="B9" ca="1">_FV(A9,"Price")</f>
        <v>94.300600000000003</v>
      </c>
      <c r="C9" s="2" cm="1">
        <f t="array" aca="1" ref="C9" ca="1">_FV(A9,"Change (%)",TRUE)</f>
        <v>-1E-3</v>
      </c>
      <c r="D9" s="2" cm="1">
        <f t="array" aca="1" ref="D9" ca="1">($B9 - _xlfn.STOCKHISTORY($A9, D$1,D$1,0,0,1))/$B9</f>
        <v>-3.9967932335530426E-3</v>
      </c>
      <c r="E9" s="2" cm="1">
        <f t="array" aca="1" ref="E9" ca="1">($B9 - _xlfn.STOCKHISTORY($A9, E$1,E$1,0,0,1))/$B9</f>
        <v>-1.4627690597938973E-2</v>
      </c>
      <c r="F9" s="2" cm="1">
        <f t="array" aca="1" ref="F9" ca="1">($B9 - _xlfn.STOCKHISTORY($A9, F$1,F$1,0,0,1))/$B9</f>
        <v>3.5630738298597208E-4</v>
      </c>
      <c r="G9" s="2" cm="1">
        <f t="array" aca="1" ref="G9" ca="1">($B9 - _xlfn.STOCKHISTORY($A9, G$1,G$1,0,0,1))/$B9</f>
        <v>9.194639270587894E-2</v>
      </c>
      <c r="H9" s="2" cm="1">
        <f t="array" aca="1" ref="H9" ca="1">($B9 - _xlfn.STOCKHISTORY($A9, H$1,H$1,0,0,1))/$B9</f>
        <v>9.593364199167341E-2</v>
      </c>
      <c r="I9" s="2" cm="1">
        <f t="array" aca="1" ref="I9" ca="1">($B9 - _xlfn.STOCKHISTORY($A9, I$1,I$1,0,0,1))/$B9</f>
        <v>0.11389747255054582</v>
      </c>
      <c r="J9" s="2" cm="1">
        <f t="array" aca="1" ref="J9" ca="1">($B9 - _xlfn.STOCKHISTORY($A9, J$1,J$1,0,0,1))/$B9</f>
        <v>0.13075844692398567</v>
      </c>
      <c r="K9" s="2" cm="1">
        <f t="array" aca="1" ref="K9" ca="1">($B9 - _xlfn.STOCKHISTORY($A9, K$1,K$1,0,0,1))/$B9</f>
        <v>0.17041885205396359</v>
      </c>
    </row>
    <row r="10" spans="1:11" x14ac:dyDescent="0.35">
      <c r="A10" t="e" vm="31">
        <v>#VALUE!</v>
      </c>
      <c r="B10" s="1" cm="1">
        <f t="array" aca="1" ref="B10" ca="1">_FV(A10,"Price")</f>
        <v>1.2930999999999999</v>
      </c>
      <c r="C10" s="2" cm="1">
        <f t="array" aca="1" ref="C10" ca="1">_FV(A10,"Change (%)",TRUE)</f>
        <v>-1.6980000000000001E-3</v>
      </c>
      <c r="D10" s="2" cm="1">
        <f t="array" aca="1" ref="D10" ca="1">($B10 - _xlfn.STOCKHISTORY($A10, D$1,D$1,0,0,1))/$B10</f>
        <v>1.5466707911219394E-4</v>
      </c>
      <c r="E10" s="2" cm="1">
        <f t="array" aca="1" ref="E10" ca="1">($B10 - _xlfn.STOCKHISTORY($A10, E$1,E$1,0,0,1))/$B10</f>
        <v>1.2296032789420793E-2</v>
      </c>
      <c r="F10" s="2" cm="1">
        <f t="array" aca="1" ref="F10" ca="1">($B10 - _xlfn.STOCKHISTORY($A10, F$1,F$1,0,0,1))/$B10</f>
        <v>6.2640167040445413E-3</v>
      </c>
      <c r="G10" s="2" cm="1">
        <f t="array" aca="1" ref="G10" ca="1">($B10 - _xlfn.STOCKHISTORY($A10, G$1,G$1,0,0,1))/$B10</f>
        <v>1.4925373134328261E-2</v>
      </c>
      <c r="H10" s="2" cm="1">
        <f t="array" aca="1" ref="H10" ca="1">($B10 - _xlfn.STOCKHISTORY($A10, H$1,H$1,0,0,1))/$B10</f>
        <v>-5.0885469027917477E-2</v>
      </c>
      <c r="I10" s="2" cm="1">
        <f t="array" aca="1" ref="I10" ca="1">($B10 - _xlfn.STOCKHISTORY($A10, I$1,I$1,0,0,1))/$B10</f>
        <v>-5.0344134251024797E-2</v>
      </c>
      <c r="J10" s="2" cm="1">
        <f t="array" aca="1" ref="J10" ca="1">($B10 - _xlfn.STOCKHISTORY($A10, J$1,J$1,0,0,1))/$B10</f>
        <v>-4.632279019410724E-2</v>
      </c>
      <c r="K10" s="2" cm="1">
        <f t="array" aca="1" ref="K10" ca="1">($B10 - _xlfn.STOCKHISTORY($A10, K$1,K$1,0,0,1))/$B10</f>
        <v>-7.1456190549841495E-2</v>
      </c>
    </row>
    <row r="11" spans="1:11" x14ac:dyDescent="0.35">
      <c r="A11" t="e" vm="32">
        <v>#VALUE!</v>
      </c>
      <c r="B11" s="1" cm="1">
        <f t="array" aca="1" ref="B11" ca="1">_FV(A11,"Price")</f>
        <v>31.844999999999999</v>
      </c>
      <c r="C11" s="2" cm="1">
        <f t="array" aca="1" ref="C11" ca="1">_FV(A11,"Change (%)",TRUE)</f>
        <v>1.5100000000000001E-3</v>
      </c>
      <c r="D11" s="2" cm="1">
        <f t="array" aca="1" ref="D11" ca="1">($B11 - _xlfn.STOCKHISTORY($A11, D$1,D$1,0,0,1))/$B11</f>
        <v>6.4374313078975759E-3</v>
      </c>
      <c r="E11" s="2" cm="1">
        <f t="array" aca="1" ref="E11" ca="1">($B11 - _xlfn.STOCKHISTORY($A11, E$1,E$1,0,0,1))/$B11</f>
        <v>1.3345894174909631E-2</v>
      </c>
      <c r="F11" s="2" cm="1">
        <f t="array" aca="1" ref="F11" ca="1">($B11 - _xlfn.STOCKHISTORY($A11, F$1,F$1,0,0,1))/$B11</f>
        <v>-3.6426440571518184E-3</v>
      </c>
      <c r="G11" s="2" cm="1">
        <f t="array" aca="1" ref="G11" ca="1">($B11 - _xlfn.STOCKHISTORY($A11, G$1,G$1,0,0,1))/$B11</f>
        <v>8.4346051185429427E-2</v>
      </c>
      <c r="H11" s="2" cm="1">
        <f t="array" aca="1" ref="H11" ca="1">($B11 - _xlfn.STOCKHISTORY($A11, H$1,H$1,0,0,1))/$B11</f>
        <v>-2.8732925105982077E-2</v>
      </c>
      <c r="I11" s="2" cm="1">
        <f t="array" aca="1" ref="I11" ca="1">($B11 - _xlfn.STOCKHISTORY($A11, I$1,I$1,0,0,1))/$B11</f>
        <v>-2.2107081174438707E-2</v>
      </c>
      <c r="J11" s="2" cm="1">
        <f t="array" aca="1" ref="J11" ca="1">($B11 - _xlfn.STOCKHISTORY($A11, J$1,J$1,0,0,1))/$B11</f>
        <v>2.6314963102527789E-2</v>
      </c>
      <c r="K11" s="2" cm="1">
        <f t="array" aca="1" ref="K11" ca="1">($B11 - _xlfn.STOCKHISTORY($A11, K$1,K$1,0,0,1))/$B11</f>
        <v>6.7514523473072657E-2</v>
      </c>
    </row>
    <row r="12" spans="1:11" x14ac:dyDescent="0.35">
      <c r="E12" s="2"/>
      <c r="F12" s="2"/>
      <c r="G12" s="2"/>
    </row>
    <row r="13" spans="1:11" x14ac:dyDescent="0.35">
      <c r="A13" s="10" t="s">
        <v>23</v>
      </c>
      <c r="E13" s="2"/>
      <c r="F13" s="2"/>
      <c r="G13" s="2"/>
    </row>
    <row r="14" spans="1:11" x14ac:dyDescent="0.35">
      <c r="A14" t="e" vm="33">
        <v>#VALUE!</v>
      </c>
      <c r="B14" s="1" cm="1">
        <f t="array" aca="1" ref="B14" ca="1">_FV(A14,"Price")</f>
        <v>4103</v>
      </c>
      <c r="C14" s="2" cm="1">
        <f t="array" aca="1" ref="C14" ca="1">_FV(A14,"Change (%)",TRUE)</f>
        <v>1.3687E-2</v>
      </c>
      <c r="D14" s="2" cm="1">
        <f t="array" aca="1" ref="D14" ca="1">($B14 - _xlfn.STOCKHISTORY($A14, D$1,D$1,0,0,1))/$B14</f>
        <v>-2.4299293200097445E-2</v>
      </c>
      <c r="E14" s="2" cm="1">
        <f t="array" aca="1" ref="E14" ca="1">($B14 - _xlfn.STOCKHISTORY($A14, E$1,E$1,0,0,1))/$B14</f>
        <v>-9.7319034852546962E-2</v>
      </c>
      <c r="F14" s="2" cm="1">
        <f t="array" aca="1" ref="F14" ca="1">($B14 - _xlfn.STOCKHISTORY($A14, F$1,F$1,0,0,1))/$B14</f>
        <v>-6.660979770899346E-2</v>
      </c>
      <c r="G14" s="2" cm="1">
        <f t="array" aca="1" ref="G14" ca="1">($B14 - _xlfn.STOCKHISTORY($A14, G$1,G$1,0,0,1))/$B14</f>
        <v>0.18401169875700707</v>
      </c>
      <c r="H14" s="2" cm="1">
        <f t="array" aca="1" ref="H14" ca="1">($B14 - _xlfn.STOCKHISTORY($A14, H$1,H$1,0,0,1))/$B14</f>
        <v>0.3531805995612966</v>
      </c>
      <c r="I14" s="2" cm="1">
        <f t="array" aca="1" ref="I14" ca="1">($B14 - _xlfn.STOCKHISTORY($A14, I$1,I$1,0,0,1))/$B14</f>
        <v>0.43621740190104807</v>
      </c>
      <c r="J14" s="2" cm="1">
        <f t="array" aca="1" ref="J14" ca="1">($B14 - _xlfn.STOCKHISTORY($A14, J$1,J$1,0,0,1))/$B14</f>
        <v>0.52868632707774799</v>
      </c>
      <c r="K14" s="2" cm="1">
        <f t="array" aca="1" ref="K14" ca="1">($B14 - _xlfn.STOCKHISTORY($A14, K$1,K$1,0,0,1))/$B14</f>
        <v>0.55391177187423835</v>
      </c>
    </row>
    <row r="15" spans="1:11" x14ac:dyDescent="0.35">
      <c r="A15" t="e" vm="34">
        <v>#VALUE!</v>
      </c>
      <c r="B15" s="1" cm="1">
        <f t="array" aca="1" ref="B15" ca="1">_FV(A15,"Price")</f>
        <v>59.16</v>
      </c>
      <c r="C15" s="2" cm="1">
        <f t="array" aca="1" ref="C15" ca="1">_FV(A15,"Change (%)",TRUE)</f>
        <v>1.3691E-2</v>
      </c>
      <c r="D15" s="2" cm="1">
        <f t="array" aca="1" ref="D15" ca="1">($B15 - _xlfn.STOCKHISTORY($A15, D$1,D$1,0,0,1))/$B15</f>
        <v>-0.10856997971602438</v>
      </c>
      <c r="E15" s="2" cm="1">
        <f t="array" aca="1" ref="E15" ca="1">($B15 - _xlfn.STOCKHISTORY($A15, E$1,E$1,0,0,1))/$B15</f>
        <v>-0.29489519945909398</v>
      </c>
      <c r="F15" s="2" cm="1">
        <f t="array" aca="1" ref="F15" ca="1">($B15 - _xlfn.STOCKHISTORY($A15, F$1,F$1,0,0,1))/$B15</f>
        <v>-0.14830966869506426</v>
      </c>
      <c r="G15" s="2" cm="1">
        <f t="array" aca="1" ref="G15" ca="1">($B15 - _xlfn.STOCKHISTORY($A15, G$1,G$1,0,0,1))/$B15</f>
        <v>0.38149087221095329</v>
      </c>
      <c r="H15" s="2" cm="1">
        <f t="array" aca="1" ref="H15" ca="1">($B15 - _xlfn.STOCKHISTORY($A15, H$1,H$1,0,0,1))/$B15</f>
        <v>0.48632521974306964</v>
      </c>
      <c r="I15" s="2" cm="1">
        <f t="array" aca="1" ref="I15" ca="1">($B15 - _xlfn.STOCKHISTORY($A15, I$1,I$1,0,0,1))/$B15</f>
        <v>0.51098715348208246</v>
      </c>
      <c r="J15" s="2" cm="1">
        <f t="array" aca="1" ref="J15" ca="1">($B15 - _xlfn.STOCKHISTORY($A15, J$1,J$1,0,0,1))/$B15</f>
        <v>0.61416497633536171</v>
      </c>
      <c r="K15" s="2" cm="1">
        <f t="array" aca="1" ref="K15" ca="1">($B15 - _xlfn.STOCKHISTORY($A15, K$1,K$1,0,0,1))/$B15</f>
        <v>0.64291751183231916</v>
      </c>
    </row>
    <row r="16" spans="1:11" x14ac:dyDescent="0.35">
      <c r="A16" t="e" vm="35">
        <v>#VALUE!</v>
      </c>
      <c r="B16" s="1" cm="1">
        <f t="array" aca="1" ref="B16" ca="1">_FV(A16,"Price")</f>
        <v>1629.1</v>
      </c>
      <c r="C16" s="2" cm="1">
        <f t="array" aca="1" ref="C16" ca="1">_FV(A16,"Change (%)",TRUE)</f>
        <v>6.3629999999999997E-3</v>
      </c>
      <c r="D16" s="2" cm="1">
        <f t="array" aca="1" ref="D16" ca="1">($B16 - _xlfn.STOCKHISTORY($A16, D$1,D$1,0,0,1))/$B16</f>
        <v>-2.6456325578540385E-2</v>
      </c>
      <c r="E16" s="2" cm="1">
        <f t="array" aca="1" ref="E16" ca="1">($B16 - _xlfn.STOCKHISTORY($A16, E$1,E$1,0,0,1))/$B16</f>
        <v>-0.19796206494383403</v>
      </c>
      <c r="F16" s="2" cm="1">
        <f t="array" aca="1" ref="F16" ca="1">($B16 - _xlfn.STOCKHISTORY($A16, F$1,F$1,0,0,1))/$B16</f>
        <v>-0.12878276348904316</v>
      </c>
      <c r="G16" s="2" cm="1">
        <f t="array" aca="1" ref="G16" ca="1">($B16 - _xlfn.STOCKHISTORY($A16, G$1,G$1,0,0,1))/$B16</f>
        <v>0.1407525627647167</v>
      </c>
      <c r="H16" s="2" cm="1">
        <f t="array" aca="1" ref="H16" ca="1">($B16 - _xlfn.STOCKHISTORY($A16, H$1,H$1,0,0,1))/$B16</f>
        <v>0.41427782211036762</v>
      </c>
      <c r="I16" s="2" cm="1">
        <f t="array" aca="1" ref="I16" ca="1">($B16 - _xlfn.STOCKHISTORY($A16, I$1,I$1,0,0,1))/$B16</f>
        <v>0.37180038057823334</v>
      </c>
      <c r="J16" s="2" cm="1">
        <f t="array" aca="1" ref="J16" ca="1">($B16 - _xlfn.STOCKHISTORY($A16, J$1,J$1,0,0,1))/$B16</f>
        <v>0.42999202013381616</v>
      </c>
      <c r="K16" s="2" cm="1">
        <f t="array" aca="1" ref="K16" ca="1">($B16 - _xlfn.STOCKHISTORY($A16, K$1,K$1,0,0,1))/$B16</f>
        <v>0.44527653305506104</v>
      </c>
    </row>
    <row r="17" spans="1:11" x14ac:dyDescent="0.35">
      <c r="A17" t="e" vm="36">
        <v>#VALUE!</v>
      </c>
      <c r="B17" s="1" cm="1">
        <f t="array" aca="1" ref="B17" ca="1">_FV(A17,"Price")</f>
        <v>3.2869999999999999</v>
      </c>
      <c r="C17" s="2" cm="1">
        <f t="array" aca="1" ref="C17" ca="1">_FV(A17,"Change (%)",TRUE)</f>
        <v>-2.428E-3</v>
      </c>
      <c r="D17" s="2" t="e" cm="1" vm="37">
        <f t="array" aca="1" ref="D17" ca="1">($B17 - _xlfn.STOCKHISTORY($A17, D$1,D$1,0,0,1))/$B17</f>
        <v>#VALUE!</v>
      </c>
      <c r="E17" s="2" t="e" cm="1" vm="37">
        <f t="array" aca="1" ref="E17" ca="1">($B17 - _xlfn.STOCKHISTORY($A17, E$1,E$1,0,0,1))/$B17</f>
        <v>#VALUE!</v>
      </c>
      <c r="F17" s="2" cm="1">
        <f t="array" aca="1" ref="F17" ca="1">($B17 - _xlfn.STOCKHISTORY($A17, F$1,F$1,0,0,1))/$B17</f>
        <v>8.7617888652266454E-2</v>
      </c>
      <c r="G17" s="2" cm="1">
        <f t="array" aca="1" ref="G17" ca="1">($B17 - _xlfn.STOCKHISTORY($A17, G$1,G$1,0,0,1))/$B17</f>
        <v>-7.2710678430179462E-2</v>
      </c>
      <c r="H17" s="2" cm="1">
        <f t="array" aca="1" ref="H17" ca="1">($B17 - _xlfn.STOCKHISTORY($A17, H$1,H$1,0,0,1))/$B17</f>
        <v>-0.13020991785822938</v>
      </c>
      <c r="I17" s="2" cm="1">
        <f t="array" aca="1" ref="I17" ca="1">($B17 - _xlfn.STOCKHISTORY($A17, I$1,I$1,0,0,1))/$B17</f>
        <v>0.16489199878308483</v>
      </c>
      <c r="J17" s="2" cm="1">
        <f t="array" aca="1" ref="J17" ca="1">($B17 - _xlfn.STOCKHISTORY($A17, J$1,J$1,0,0,1))/$B17</f>
        <v>0.15089747490112565</v>
      </c>
      <c r="K17" s="2" cm="1">
        <f t="array" aca="1" ref="K17" ca="1">($B17 - _xlfn.STOCKHISTORY($A17, K$1,K$1,0,0,1))/$B17</f>
        <v>-0.89230301186492245</v>
      </c>
    </row>
    <row r="18" spans="1:11" x14ac:dyDescent="0.35">
      <c r="E18" s="2"/>
      <c r="F18" s="2"/>
      <c r="G18" s="2"/>
    </row>
    <row r="19" spans="1:11" x14ac:dyDescent="0.35">
      <c r="E19" s="2"/>
      <c r="F19" s="2"/>
      <c r="G19" s="2"/>
    </row>
    <row r="20" spans="1:11" x14ac:dyDescent="0.35">
      <c r="E20" s="2"/>
      <c r="F20" s="2"/>
      <c r="G20" s="2"/>
    </row>
    <row r="21" spans="1:11" x14ac:dyDescent="0.35">
      <c r="E21" s="2"/>
      <c r="F21" s="2"/>
      <c r="G21" s="2"/>
    </row>
    <row r="22" spans="1:11" x14ac:dyDescent="0.35">
      <c r="E22" s="2"/>
      <c r="F22" s="2"/>
      <c r="G22" s="2"/>
    </row>
    <row r="23" spans="1:11" x14ac:dyDescent="0.35">
      <c r="E23" s="2"/>
      <c r="F23" s="2"/>
      <c r="G23" s="2"/>
    </row>
    <row r="24" spans="1:11" x14ac:dyDescent="0.35">
      <c r="E24" s="2"/>
      <c r="F24" s="2"/>
      <c r="G24" s="2"/>
    </row>
    <row r="25" spans="1:11" x14ac:dyDescent="0.35">
      <c r="E25" s="2"/>
      <c r="F25" s="2"/>
      <c r="G25" s="2"/>
    </row>
    <row r="26" spans="1:11" x14ac:dyDescent="0.35">
      <c r="E26" s="2"/>
      <c r="F26" s="2"/>
      <c r="G26" s="2"/>
    </row>
    <row r="27" spans="1:11" x14ac:dyDescent="0.35">
      <c r="E27" s="2"/>
      <c r="F27" s="2"/>
      <c r="G27" s="2"/>
    </row>
    <row r="28" spans="1:11" x14ac:dyDescent="0.35">
      <c r="E28" s="2"/>
      <c r="F28" s="2"/>
      <c r="G28" s="2"/>
    </row>
    <row r="29" spans="1:11" x14ac:dyDescent="0.35">
      <c r="E29" s="2"/>
      <c r="F29" s="2"/>
      <c r="G29" s="2"/>
    </row>
    <row r="30" spans="1:11" x14ac:dyDescent="0.35">
      <c r="E30" s="2"/>
      <c r="F30" s="2"/>
      <c r="G30" s="2"/>
    </row>
    <row r="31" spans="1:11" x14ac:dyDescent="0.35">
      <c r="E31" s="2"/>
      <c r="F31" s="2"/>
      <c r="G31" s="2"/>
    </row>
    <row r="32" spans="1:11" x14ac:dyDescent="0.35">
      <c r="E32" s="2"/>
      <c r="F32" s="2"/>
      <c r="G32" s="2"/>
    </row>
    <row r="33" spans="5:7" x14ac:dyDescent="0.35">
      <c r="E33" s="2"/>
      <c r="F33" s="2"/>
      <c r="G33" s="2"/>
    </row>
    <row r="34" spans="5:7" x14ac:dyDescent="0.35">
      <c r="E34" s="2"/>
      <c r="F34" s="2"/>
      <c r="G34" s="2"/>
    </row>
    <row r="35" spans="5:7" x14ac:dyDescent="0.35">
      <c r="E35" s="2"/>
      <c r="F35" s="2"/>
      <c r="G35" s="2"/>
    </row>
    <row r="36" spans="5:7" x14ac:dyDescent="0.35">
      <c r="E36" s="2"/>
      <c r="F36" s="2"/>
      <c r="G36" s="2"/>
    </row>
    <row r="37" spans="5:7" x14ac:dyDescent="0.35">
      <c r="E37" s="2"/>
      <c r="F37" s="2"/>
      <c r="G37" s="2"/>
    </row>
    <row r="38" spans="5:7" x14ac:dyDescent="0.35">
      <c r="E38" s="2"/>
      <c r="F38" s="2"/>
      <c r="G38" s="2"/>
    </row>
    <row r="39" spans="5:7" x14ac:dyDescent="0.35">
      <c r="E39" s="2"/>
      <c r="F39" s="2"/>
      <c r="G39" s="2"/>
    </row>
    <row r="40" spans="5:7" x14ac:dyDescent="0.35">
      <c r="E40" s="2"/>
      <c r="F40" s="2"/>
      <c r="G40" s="2"/>
    </row>
    <row r="41" spans="5:7" x14ac:dyDescent="0.35">
      <c r="E41" s="2"/>
      <c r="F41" s="2"/>
      <c r="G41" s="2"/>
    </row>
    <row r="42" spans="5:7" x14ac:dyDescent="0.35">
      <c r="E42" s="2"/>
      <c r="F42" s="2"/>
      <c r="G42" s="2"/>
    </row>
    <row r="43" spans="5:7" x14ac:dyDescent="0.35">
      <c r="E43" s="2"/>
      <c r="F43" s="2"/>
      <c r="G43" s="2"/>
    </row>
    <row r="44" spans="5:7" x14ac:dyDescent="0.35">
      <c r="E44" s="2"/>
      <c r="F44" s="2"/>
      <c r="G44" s="2"/>
    </row>
    <row r="45" spans="5:7" x14ac:dyDescent="0.35">
      <c r="E45" s="2"/>
      <c r="F45" s="2"/>
      <c r="G45" s="2"/>
    </row>
    <row r="46" spans="5:7" x14ac:dyDescent="0.35">
      <c r="E46" s="2"/>
      <c r="F46" s="2"/>
      <c r="G46" s="2"/>
    </row>
    <row r="47" spans="5:7" x14ac:dyDescent="0.35">
      <c r="E47" s="2"/>
      <c r="F47" s="2"/>
      <c r="G47" s="2"/>
    </row>
    <row r="48" spans="5:7" x14ac:dyDescent="0.35">
      <c r="E48" s="2"/>
      <c r="F48" s="2"/>
      <c r="G48" s="2"/>
    </row>
    <row r="49" spans="5:7" x14ac:dyDescent="0.35">
      <c r="E49" s="2"/>
      <c r="F49" s="2"/>
      <c r="G49" s="2"/>
    </row>
    <row r="50" spans="5:7" x14ac:dyDescent="0.35">
      <c r="E50" s="2"/>
      <c r="F50" s="2"/>
      <c r="G50" s="2"/>
    </row>
    <row r="51" spans="5:7" x14ac:dyDescent="0.35">
      <c r="E51" s="2"/>
      <c r="F51" s="2"/>
      <c r="G51" s="2"/>
    </row>
    <row r="52" spans="5:7" x14ac:dyDescent="0.35">
      <c r="E52" s="2"/>
      <c r="F52" s="2"/>
      <c r="G52" s="2"/>
    </row>
    <row r="53" spans="5:7" x14ac:dyDescent="0.35">
      <c r="E53" s="2"/>
      <c r="F53" s="2"/>
      <c r="G53" s="2"/>
    </row>
    <row r="54" spans="5:7" x14ac:dyDescent="0.35">
      <c r="E54" s="2"/>
      <c r="F54" s="2"/>
      <c r="G54" s="2"/>
    </row>
    <row r="55" spans="5:7" x14ac:dyDescent="0.35">
      <c r="E55" s="2"/>
      <c r="F55" s="2"/>
      <c r="G55" s="2"/>
    </row>
    <row r="56" spans="5:7" x14ac:dyDescent="0.35">
      <c r="E56" s="2"/>
      <c r="F56" s="2"/>
      <c r="G56" s="2"/>
    </row>
    <row r="57" spans="5:7" x14ac:dyDescent="0.35">
      <c r="E57" s="2"/>
      <c r="F57" s="2"/>
      <c r="G57" s="2"/>
    </row>
    <row r="58" spans="5:7" x14ac:dyDescent="0.35">
      <c r="E58" s="2"/>
      <c r="F58" s="2"/>
      <c r="G58" s="2"/>
    </row>
    <row r="59" spans="5:7" x14ac:dyDescent="0.35">
      <c r="E59" s="2"/>
      <c r="F59" s="2"/>
      <c r="G59" s="2"/>
    </row>
    <row r="60" spans="5:7" x14ac:dyDescent="0.35">
      <c r="E60" s="2"/>
      <c r="F60" s="2"/>
      <c r="G60" s="2"/>
    </row>
    <row r="61" spans="5:7" x14ac:dyDescent="0.35">
      <c r="E61" s="2"/>
      <c r="F61" s="2"/>
      <c r="G61" s="2"/>
    </row>
    <row r="62" spans="5:7" x14ac:dyDescent="0.35">
      <c r="E62" s="2"/>
      <c r="F62" s="2"/>
      <c r="G62" s="2"/>
    </row>
    <row r="63" spans="5:7" x14ac:dyDescent="0.35">
      <c r="E63" s="2"/>
      <c r="F63" s="2"/>
      <c r="G63" s="2"/>
    </row>
    <row r="64" spans="5:7" x14ac:dyDescent="0.35">
      <c r="E64" s="2"/>
      <c r="F64" s="2"/>
      <c r="G64" s="2"/>
    </row>
    <row r="65" spans="5:7" x14ac:dyDescent="0.35">
      <c r="E65" s="2"/>
      <c r="F65" s="2"/>
      <c r="G65" s="2"/>
    </row>
    <row r="66" spans="5:7" x14ac:dyDescent="0.35">
      <c r="E66" s="2"/>
      <c r="F66" s="2"/>
      <c r="G66" s="2"/>
    </row>
    <row r="67" spans="5:7" x14ac:dyDescent="0.35">
      <c r="E67" s="2"/>
      <c r="F67" s="2"/>
      <c r="G67" s="2"/>
    </row>
    <row r="68" spans="5:7" x14ac:dyDescent="0.35">
      <c r="E68" s="2"/>
      <c r="F68" s="2"/>
      <c r="G68" s="2"/>
    </row>
    <row r="69" spans="5:7" x14ac:dyDescent="0.35">
      <c r="E69" s="2"/>
      <c r="F69" s="2"/>
      <c r="G69" s="2"/>
    </row>
    <row r="70" spans="5:7" x14ac:dyDescent="0.35">
      <c r="E70" s="2"/>
      <c r="F70" s="2"/>
      <c r="G70" s="2"/>
    </row>
    <row r="71" spans="5:7" x14ac:dyDescent="0.35">
      <c r="E71" s="2"/>
      <c r="F71" s="2"/>
      <c r="G71" s="2"/>
    </row>
    <row r="72" spans="5:7" x14ac:dyDescent="0.35">
      <c r="E72" s="2"/>
      <c r="F72" s="2"/>
      <c r="G72" s="2"/>
    </row>
    <row r="73" spans="5:7" x14ac:dyDescent="0.35">
      <c r="E73" s="2"/>
      <c r="F73" s="2"/>
      <c r="G73" s="2"/>
    </row>
    <row r="74" spans="5:7" x14ac:dyDescent="0.35">
      <c r="E74" s="2"/>
      <c r="F74" s="2"/>
      <c r="G74" s="2"/>
    </row>
    <row r="75" spans="5:7" x14ac:dyDescent="0.35">
      <c r="E75" s="2"/>
      <c r="F75" s="2"/>
      <c r="G75" s="2"/>
    </row>
    <row r="76" spans="5:7" x14ac:dyDescent="0.35">
      <c r="E76" s="2"/>
      <c r="F76" s="2"/>
      <c r="G76" s="2"/>
    </row>
    <row r="77" spans="5:7" x14ac:dyDescent="0.35">
      <c r="E77" s="2"/>
      <c r="F77" s="2"/>
      <c r="G77" s="2"/>
    </row>
    <row r="78" spans="5:7" x14ac:dyDescent="0.35">
      <c r="E78" s="2"/>
      <c r="F78" s="2"/>
      <c r="G78" s="2"/>
    </row>
    <row r="79" spans="5:7" x14ac:dyDescent="0.35">
      <c r="E79" s="2"/>
      <c r="F79" s="2"/>
      <c r="G79" s="2"/>
    </row>
    <row r="80" spans="5:7" x14ac:dyDescent="0.35">
      <c r="E80" s="2"/>
      <c r="F80" s="2"/>
      <c r="G80" s="2"/>
    </row>
    <row r="81" spans="5:7" x14ac:dyDescent="0.35">
      <c r="E81" s="2"/>
      <c r="F81" s="2"/>
      <c r="G81" s="2"/>
    </row>
    <row r="82" spans="5:7" x14ac:dyDescent="0.35">
      <c r="E82" s="2"/>
      <c r="F82" s="2"/>
      <c r="G82" s="2"/>
    </row>
    <row r="83" spans="5:7" x14ac:dyDescent="0.35">
      <c r="E83" s="2"/>
      <c r="F83" s="2"/>
      <c r="G83" s="2"/>
    </row>
    <row r="84" spans="5:7" x14ac:dyDescent="0.35">
      <c r="E84" s="2"/>
      <c r="F84" s="2"/>
      <c r="G84" s="2"/>
    </row>
    <row r="85" spans="5:7" x14ac:dyDescent="0.35">
      <c r="E85" s="2"/>
      <c r="F85" s="2"/>
      <c r="G85" s="2"/>
    </row>
    <row r="86" spans="5:7" x14ac:dyDescent="0.35">
      <c r="E86" s="2"/>
      <c r="F86" s="2"/>
      <c r="G86" s="2"/>
    </row>
    <row r="87" spans="5:7" x14ac:dyDescent="0.35">
      <c r="E87" s="2"/>
      <c r="F87" s="2"/>
      <c r="G87" s="2"/>
    </row>
    <row r="88" spans="5:7" x14ac:dyDescent="0.35">
      <c r="E88" s="2"/>
      <c r="F88" s="2"/>
      <c r="G88" s="2"/>
    </row>
    <row r="89" spans="5:7" x14ac:dyDescent="0.35">
      <c r="E89" s="2"/>
      <c r="F89" s="2"/>
      <c r="G89" s="2"/>
    </row>
    <row r="90" spans="5:7" x14ac:dyDescent="0.35">
      <c r="E90" s="2"/>
      <c r="F90" s="2"/>
      <c r="G90" s="2"/>
    </row>
    <row r="91" spans="5:7" x14ac:dyDescent="0.35">
      <c r="E91" s="2"/>
      <c r="F91" s="2"/>
      <c r="G91" s="2"/>
    </row>
    <row r="92" spans="5:7" x14ac:dyDescent="0.35">
      <c r="E92" s="2"/>
      <c r="F92" s="2"/>
      <c r="G92" s="2"/>
    </row>
    <row r="93" spans="5:7" x14ac:dyDescent="0.35">
      <c r="E93" s="2"/>
      <c r="F93" s="2"/>
      <c r="G93" s="2"/>
    </row>
    <row r="94" spans="5:7" x14ac:dyDescent="0.35">
      <c r="E94" s="2"/>
      <c r="F94" s="2"/>
      <c r="G94" s="2"/>
    </row>
    <row r="95" spans="5:7" x14ac:dyDescent="0.35">
      <c r="E95" s="2"/>
      <c r="F95" s="2"/>
      <c r="G95" s="2"/>
    </row>
    <row r="96" spans="5:7" x14ac:dyDescent="0.35">
      <c r="E96" s="2"/>
      <c r="F96" s="2"/>
      <c r="G96" s="2"/>
    </row>
    <row r="97" spans="5:7" x14ac:dyDescent="0.35">
      <c r="E97" s="2"/>
      <c r="F97" s="2"/>
      <c r="G97" s="2"/>
    </row>
    <row r="98" spans="5:7" x14ac:dyDescent="0.35">
      <c r="E98" s="2"/>
      <c r="F98" s="2"/>
      <c r="G98" s="2"/>
    </row>
    <row r="99" spans="5:7" x14ac:dyDescent="0.35">
      <c r="E99" s="2"/>
      <c r="F99" s="2"/>
      <c r="G99" s="2"/>
    </row>
    <row r="100" spans="5:7" x14ac:dyDescent="0.35">
      <c r="E100" s="2"/>
      <c r="F100" s="2"/>
      <c r="G100" s="2"/>
    </row>
    <row r="101" spans="5:7" x14ac:dyDescent="0.35">
      <c r="E101" s="2"/>
      <c r="F101" s="2"/>
      <c r="G101" s="2"/>
    </row>
    <row r="102" spans="5:7" x14ac:dyDescent="0.35">
      <c r="E102" s="2"/>
      <c r="F102" s="2"/>
      <c r="G102" s="2"/>
    </row>
    <row r="103" spans="5:7" x14ac:dyDescent="0.35">
      <c r="E103" s="2"/>
      <c r="F103" s="2"/>
      <c r="G103" s="2"/>
    </row>
    <row r="104" spans="5:7" x14ac:dyDescent="0.35">
      <c r="E104" s="2"/>
      <c r="F104" s="2"/>
      <c r="G104" s="2"/>
    </row>
    <row r="105" spans="5:7" x14ac:dyDescent="0.35">
      <c r="E105" s="2"/>
      <c r="F105" s="2"/>
      <c r="G105" s="2"/>
    </row>
    <row r="106" spans="5:7" x14ac:dyDescent="0.35">
      <c r="E106" s="2"/>
      <c r="F106" s="2"/>
      <c r="G106" s="2"/>
    </row>
    <row r="107" spans="5:7" x14ac:dyDescent="0.35">
      <c r="E107" s="2"/>
      <c r="F107" s="2"/>
      <c r="G107" s="2"/>
    </row>
    <row r="108" spans="5:7" x14ac:dyDescent="0.35">
      <c r="E108" s="2"/>
      <c r="F108" s="2"/>
      <c r="G108" s="2"/>
    </row>
    <row r="109" spans="5:7" x14ac:dyDescent="0.35">
      <c r="E109" s="2"/>
      <c r="F109" s="2"/>
      <c r="G109" s="2"/>
    </row>
    <row r="110" spans="5:7" x14ac:dyDescent="0.35">
      <c r="E110" s="2"/>
      <c r="F110" s="2"/>
      <c r="G110" s="2"/>
    </row>
    <row r="111" spans="5:7" x14ac:dyDescent="0.35">
      <c r="E111" s="2"/>
      <c r="F111" s="2"/>
      <c r="G111" s="2"/>
    </row>
    <row r="112" spans="5:7" x14ac:dyDescent="0.35">
      <c r="E112" s="2"/>
      <c r="F112" s="2"/>
      <c r="G112" s="2"/>
    </row>
    <row r="113" spans="5:7" x14ac:dyDescent="0.35">
      <c r="E113" s="2"/>
      <c r="F113" s="2"/>
      <c r="G113" s="2"/>
    </row>
    <row r="114" spans="5:7" x14ac:dyDescent="0.35">
      <c r="E114" s="2"/>
      <c r="F114" s="2"/>
      <c r="G114" s="2"/>
    </row>
    <row r="115" spans="5:7" x14ac:dyDescent="0.35">
      <c r="E115" s="2"/>
      <c r="F115" s="2"/>
      <c r="G115" s="2"/>
    </row>
    <row r="116" spans="5:7" x14ac:dyDescent="0.35">
      <c r="E116" s="2"/>
      <c r="F116" s="2"/>
      <c r="G116" s="2"/>
    </row>
    <row r="117" spans="5:7" x14ac:dyDescent="0.35">
      <c r="E117" s="2"/>
      <c r="F117" s="2"/>
      <c r="G117" s="2"/>
    </row>
    <row r="118" spans="5:7" x14ac:dyDescent="0.35">
      <c r="E118" s="2"/>
      <c r="F118" s="2"/>
      <c r="G118" s="2"/>
    </row>
    <row r="119" spans="5:7" x14ac:dyDescent="0.35">
      <c r="E119" s="2"/>
      <c r="F119" s="2"/>
      <c r="G119" s="2"/>
    </row>
    <row r="120" spans="5:7" x14ac:dyDescent="0.35">
      <c r="E120" s="2"/>
      <c r="F120" s="2"/>
      <c r="G120" s="2"/>
    </row>
    <row r="121" spans="5:7" x14ac:dyDescent="0.35">
      <c r="E121" s="2"/>
      <c r="F121" s="2"/>
      <c r="G121" s="2"/>
    </row>
    <row r="122" spans="5:7" x14ac:dyDescent="0.35">
      <c r="E122" s="2"/>
      <c r="F122" s="2"/>
      <c r="G122" s="2"/>
    </row>
  </sheetData>
  <conditionalFormatting sqref="D18:D1048576 D12:D13 D2:H11 D14:H17">
    <cfRule type="colorScale" priority="7">
      <colorScale>
        <cfvo type="min"/>
        <cfvo type="percentile" val="50"/>
        <cfvo type="max"/>
        <color rgb="FFF8696B"/>
        <color rgb="FFFCFCFF"/>
        <color rgb="FF63BE7B"/>
      </colorScale>
    </cfRule>
  </conditionalFormatting>
  <conditionalFormatting sqref="E18:E122 E12:E13">
    <cfRule type="colorScale" priority="8">
      <colorScale>
        <cfvo type="min"/>
        <cfvo type="percentile" val="50"/>
        <cfvo type="max"/>
        <color rgb="FFF8696B"/>
        <color rgb="FFFCFCFF"/>
        <color rgb="FF63BE7B"/>
      </colorScale>
    </cfRule>
  </conditionalFormatting>
  <conditionalFormatting sqref="F18:F122 F12:F13">
    <cfRule type="colorScale" priority="9">
      <colorScale>
        <cfvo type="min"/>
        <cfvo type="percentile" val="50"/>
        <cfvo type="max"/>
        <color rgb="FFF8696B"/>
        <color rgb="FFFCFCFF"/>
        <color rgb="FF63BE7B"/>
      </colorScale>
    </cfRule>
  </conditionalFormatting>
  <conditionalFormatting sqref="G18:G122 G12:G13">
    <cfRule type="colorScale" priority="10">
      <colorScale>
        <cfvo type="min"/>
        <cfvo type="percentile" val="50"/>
        <cfvo type="max"/>
        <color rgb="FFF8696B"/>
        <color rgb="FFFCFCFF"/>
        <color rgb="FF63BE7B"/>
      </colorScale>
    </cfRule>
  </conditionalFormatting>
  <conditionalFormatting sqref="I2:I11">
    <cfRule type="colorScale" priority="6">
      <colorScale>
        <cfvo type="min"/>
        <cfvo type="percentile" val="50"/>
        <cfvo type="max"/>
        <color rgb="FFF8696B"/>
        <color rgb="FFFCFCFF"/>
        <color rgb="FF63BE7B"/>
      </colorScale>
    </cfRule>
  </conditionalFormatting>
  <conditionalFormatting sqref="I14:I17">
    <cfRule type="colorScale" priority="653">
      <colorScale>
        <cfvo type="min"/>
        <cfvo type="percentile" val="50"/>
        <cfvo type="max"/>
        <color rgb="FFF8696B"/>
        <color rgb="FFFCFCFF"/>
        <color rgb="FF63BE7B"/>
      </colorScale>
    </cfRule>
  </conditionalFormatting>
  <conditionalFormatting sqref="J2:J11">
    <cfRule type="colorScale" priority="5">
      <colorScale>
        <cfvo type="min"/>
        <cfvo type="percentile" val="50"/>
        <cfvo type="max"/>
        <color rgb="FFF8696B"/>
        <color rgb="FFFCFCFF"/>
        <color rgb="FF63BE7B"/>
      </colorScale>
    </cfRule>
  </conditionalFormatting>
  <conditionalFormatting sqref="J14:J17">
    <cfRule type="colorScale" priority="654">
      <colorScale>
        <cfvo type="min"/>
        <cfvo type="percentile" val="50"/>
        <cfvo type="max"/>
        <color rgb="FFF8696B"/>
        <color rgb="FFFCFCFF"/>
        <color rgb="FF63BE7B"/>
      </colorScale>
    </cfRule>
  </conditionalFormatting>
  <conditionalFormatting sqref="K2:K11">
    <cfRule type="colorScale" priority="4">
      <colorScale>
        <cfvo type="min"/>
        <cfvo type="percentile" val="50"/>
        <cfvo type="max"/>
        <color rgb="FFF8696B"/>
        <color rgb="FFFCFCFF"/>
        <color rgb="FF63BE7B"/>
      </colorScale>
    </cfRule>
  </conditionalFormatting>
  <conditionalFormatting sqref="K14:K17">
    <cfRule type="colorScale" priority="655">
      <colorScale>
        <cfvo type="min"/>
        <cfvo type="percentile" val="50"/>
        <cfvo type="max"/>
        <color rgb="FFF8696B"/>
        <color rgb="FFFCFCFF"/>
        <color rgb="FF63BE7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Portfolio</vt:lpstr>
      <vt:lpstr>Options</vt:lpstr>
      <vt:lpstr>Currency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horace</dc:creator>
  <cp:keywords/>
  <dc:description/>
  <cp:lastModifiedBy>Horace Chan</cp:lastModifiedBy>
  <cp:revision/>
  <dcterms:created xsi:type="dcterms:W3CDTF">2023-06-11T05:28:37Z</dcterms:created>
  <dcterms:modified xsi:type="dcterms:W3CDTF">2026-06-28T05:09:09Z</dcterms:modified>
  <cp:category/>
  <cp:contentStatus/>
</cp:coreProperties>
</file>